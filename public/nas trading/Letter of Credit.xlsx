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1d878c42963542b/Documents/"/>
    </mc:Choice>
  </mc:AlternateContent>
  <xr:revisionPtr revIDLastSave="3" documentId="8_{A2AEF70D-2369-4DD8-B9DB-702BDB66A680}" xr6:coauthVersionLast="47" xr6:coauthVersionMax="47" xr10:uidLastSave="{2F2FA9FC-7E16-4337-AD19-41AC547884DD}"/>
  <bookViews>
    <workbookView xWindow="-120" yWindow="-120" windowWidth="29040" windowHeight="15720" xr2:uid="{A0A36F22-D0DE-403D-8629-D538A259E23F}"/>
  </bookViews>
  <sheets>
    <sheet name="2025" sheetId="1" r:id="rId1"/>
  </sheets>
  <definedNames>
    <definedName name="_xlnm._FilterDatabase" localSheetId="0" hidden="1">'2025'!$A$5:$BF$5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D23" i="1" l="1"/>
  <c r="W23" i="1"/>
  <c r="BH22" i="1"/>
  <c r="AF22" i="1"/>
  <c r="BH21" i="1"/>
  <c r="AF21" i="1"/>
  <c r="BH20" i="1"/>
  <c r="AF20" i="1"/>
  <c r="AD19" i="1"/>
  <c r="W19" i="1"/>
  <c r="AD18" i="1"/>
  <c r="W18" i="1"/>
  <c r="AD17" i="1"/>
  <c r="W17" i="1"/>
  <c r="AD16" i="1"/>
  <c r="W16" i="1"/>
  <c r="BH15" i="1"/>
  <c r="AF15" i="1"/>
  <c r="BG14" i="1"/>
  <c r="AX14" i="1"/>
  <c r="AM14" i="1"/>
  <c r="AF14" i="1"/>
  <c r="W14" i="1"/>
  <c r="BG13" i="1"/>
  <c r="AX13" i="1"/>
  <c r="AM13" i="1"/>
  <c r="AF13" i="1"/>
  <c r="AC13" i="1"/>
  <c r="W13" i="1"/>
  <c r="BG12" i="1"/>
  <c r="AX12" i="1"/>
  <c r="AM12" i="1"/>
  <c r="AF12" i="1"/>
  <c r="AC12" i="1"/>
  <c r="W12" i="1"/>
  <c r="BG11" i="1"/>
  <c r="AX11" i="1"/>
  <c r="AM11" i="1"/>
  <c r="AF11" i="1"/>
  <c r="AC11" i="1"/>
  <c r="W11" i="1"/>
  <c r="BG10" i="1"/>
  <c r="AX10" i="1"/>
  <c r="AM10" i="1"/>
  <c r="AF10" i="1"/>
  <c r="AC10" i="1"/>
  <c r="W10" i="1"/>
  <c r="BG9" i="1"/>
  <c r="AX9" i="1"/>
  <c r="AM9" i="1"/>
  <c r="AF9" i="1"/>
  <c r="W9" i="1"/>
  <c r="BG8" i="1"/>
  <c r="AX8" i="1"/>
  <c r="AM8" i="1"/>
  <c r="AF8" i="1"/>
  <c r="AC8" i="1"/>
  <c r="W8" i="1"/>
  <c r="BG7" i="1"/>
  <c r="AX7" i="1"/>
  <c r="AM7" i="1"/>
  <c r="AD7" i="1"/>
  <c r="W7" i="1"/>
  <c r="BM6" i="1"/>
  <c r="BK6" i="1"/>
  <c r="BG6" i="1"/>
  <c r="AM6" i="1"/>
  <c r="AF6" i="1"/>
  <c r="AC6" i="1"/>
  <c r="W6" i="1"/>
  <c r="BA4" i="1"/>
  <c r="AM4" i="1"/>
  <c r="AJ4" i="1"/>
  <c r="AG4" i="1"/>
  <c r="AD4" i="1"/>
  <c r="Z4" i="1"/>
  <c r="X4" i="1"/>
  <c r="W4" i="1"/>
  <c r="BH23" i="1" l="1"/>
  <c r="AF23" i="1"/>
  <c r="AZ22" i="1"/>
  <c r="AN22" i="1"/>
  <c r="AZ21" i="1"/>
  <c r="AN21" i="1"/>
  <c r="AZ20" i="1"/>
  <c r="AN20" i="1"/>
  <c r="BH19" i="1"/>
  <c r="AF19" i="1"/>
  <c r="BH18" i="1"/>
  <c r="AF18" i="1"/>
  <c r="BH17" i="1"/>
  <c r="AF17" i="1"/>
  <c r="BH16" i="1"/>
  <c r="AF16" i="1"/>
  <c r="AZ15" i="1"/>
  <c r="AN15" i="1"/>
  <c r="BM14" i="1"/>
  <c r="BK14" i="1" s="1"/>
  <c r="BH14" i="1"/>
  <c r="AZ14" i="1"/>
  <c r="AN14" i="1"/>
  <c r="BM13" i="1"/>
  <c r="BK13" i="1" s="1"/>
  <c r="BH13" i="1"/>
  <c r="AZ13" i="1"/>
  <c r="AN13" i="1"/>
  <c r="BM12" i="1"/>
  <c r="BK12" i="1" s="1"/>
  <c r="BH12" i="1"/>
  <c r="AZ12" i="1"/>
  <c r="AN12" i="1"/>
  <c r="BM11" i="1"/>
  <c r="BK11" i="1" s="1"/>
  <c r="BH11" i="1"/>
  <c r="AZ11" i="1"/>
  <c r="AN11" i="1"/>
  <c r="BM10" i="1"/>
  <c r="BK10" i="1" s="1"/>
  <c r="BH10" i="1"/>
  <c r="AZ10" i="1"/>
  <c r="AN10" i="1"/>
  <c r="BM9" i="1"/>
  <c r="BK9" i="1" s="1"/>
  <c r="BH9" i="1"/>
  <c r="AZ9" i="1"/>
  <c r="AN9" i="1"/>
  <c r="BM8" i="1"/>
  <c r="BK8" i="1" s="1"/>
  <c r="BH8" i="1"/>
  <c r="AZ8" i="1"/>
  <c r="AN8" i="1"/>
  <c r="BM7" i="1"/>
  <c r="BK7" i="1" s="1"/>
  <c r="BH7" i="1"/>
  <c r="AF7" i="1"/>
  <c r="BX6" i="1"/>
  <c r="BH6" i="1"/>
  <c r="AZ6" i="1"/>
  <c r="AN6" i="1"/>
  <c r="AN23" i="1" l="1"/>
  <c r="AZ23" i="1"/>
  <c r="AN19" i="1"/>
  <c r="AZ19" i="1"/>
  <c r="AN18" i="1"/>
  <c r="AZ18" i="1"/>
  <c r="AN17" i="1"/>
  <c r="AZ17" i="1"/>
  <c r="AN16" i="1"/>
  <c r="AZ16" i="1"/>
  <c r="AN7" i="1"/>
  <c r="AF4" i="1"/>
  <c r="AZ7" i="1"/>
  <c r="AZ4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tc={87A5982F-7426-4744-BCF0-AA9ADC6F446C}</author>
  </authors>
  <commentList>
    <comment ref="BH11" authorId="0" shapeId="0" xr:uid="{87A5982F-7426-4744-BCF0-AA9ADC6F446C}">
      <text>
        <t>[Threaded comment]
Your version of Excel allows you to read this threaded comment; however, any edits to it will get removed if the file is opened in a newer version of Excel. Learn more: https://go.microsoft.com/fwlink/?linkid=870924
Comment:
    1 Day Interest</t>
      </text>
    </comment>
  </commentList>
</comments>
</file>

<file path=xl/sharedStrings.xml><?xml version="1.0" encoding="utf-8"?>
<sst xmlns="http://schemas.openxmlformats.org/spreadsheetml/2006/main" count="245" uniqueCount="113">
  <si>
    <t>DIIL-NAS LC Information</t>
  </si>
  <si>
    <t>Month</t>
  </si>
  <si>
    <t>SL</t>
  </si>
  <si>
    <t>PFI No.</t>
  </si>
  <si>
    <t>PFI Date</t>
  </si>
  <si>
    <t>Supplier Name</t>
  </si>
  <si>
    <t>Supplier Country</t>
  </si>
  <si>
    <t>PFI Value</t>
  </si>
  <si>
    <t>Item Description</t>
  </si>
  <si>
    <t>QTY_C</t>
  </si>
  <si>
    <t>QTY_U</t>
  </si>
  <si>
    <t>Weight_C</t>
  </si>
  <si>
    <t>Weight_U</t>
  </si>
  <si>
    <t>HS Code</t>
  </si>
  <si>
    <t>LC/TT No.</t>
  </si>
  <si>
    <t>LC/ TT 
Opening Date</t>
  </si>
  <si>
    <t>LC/TT 
Expiry Date</t>
  </si>
  <si>
    <t>Shipment From</t>
  </si>
  <si>
    <t>Shipping Docs Received Date</t>
  </si>
  <si>
    <t>Bank</t>
  </si>
  <si>
    <t>Margin_%</t>
  </si>
  <si>
    <t>Currency</t>
  </si>
  <si>
    <t>LC OP_Rate</t>
  </si>
  <si>
    <t>LC Margin_Amt</t>
  </si>
  <si>
    <t>LC opening Cost                     BDT</t>
  </si>
  <si>
    <t>Documents No or Cover note Number</t>
  </si>
  <si>
    <t>Insurance</t>
  </si>
  <si>
    <t>LC Amendment Charge</t>
  </si>
  <si>
    <t>Swift Charge                                and Others</t>
  </si>
  <si>
    <t>Doc_RT_Rate</t>
  </si>
  <si>
    <t>LC RT Value</t>
  </si>
  <si>
    <t>LC Charge Posting</t>
  </si>
  <si>
    <t>Total LC Cost</t>
  </si>
  <si>
    <t>Advanced Received BDT</t>
  </si>
  <si>
    <t>AR_Date</t>
  </si>
  <si>
    <t>Advance Posting</t>
  </si>
  <si>
    <t>Rest Amount  Received BDT</t>
  </si>
  <si>
    <t>RAR_Date</t>
  </si>
  <si>
    <t>Rest Amount Posting</t>
  </si>
  <si>
    <t>Total Received BDT</t>
  </si>
  <si>
    <t>LC Closing Bill</t>
  </si>
  <si>
    <t>LC Closing Bill Amount Received Date</t>
  </si>
  <si>
    <t xml:space="preserve">Duty Advanced </t>
  </si>
  <si>
    <t>Date</t>
  </si>
  <si>
    <t>Duty Advance posting</t>
  </si>
  <si>
    <t>Bill Of Entry Number</t>
  </si>
  <si>
    <t>Bill Of Entry Date</t>
  </si>
  <si>
    <t>Customs Duty</t>
  </si>
  <si>
    <t>Custome Duty Posting (Purchase Journal)</t>
  </si>
  <si>
    <t>C&amp;F Clearance Party</t>
  </si>
  <si>
    <t>Total C&amp;F Cost</t>
  </si>
  <si>
    <t>Total C&amp;F Cost Posting</t>
  </si>
  <si>
    <t>Payable/ Receivable</t>
  </si>
  <si>
    <t>Received Amount</t>
  </si>
  <si>
    <t>Received Date</t>
  </si>
  <si>
    <t>VAT Return</t>
  </si>
  <si>
    <t>VAT Return Received Date</t>
  </si>
  <si>
    <t>VAT Return Posting</t>
  </si>
  <si>
    <t>InCome Tax</t>
  </si>
  <si>
    <t>Bank Statement Amount</t>
  </si>
  <si>
    <t>Bank vs LC RT Value Amount Different</t>
  </si>
  <si>
    <t>LC Commission</t>
  </si>
  <si>
    <t>LC Commission Amount Received Date</t>
  </si>
  <si>
    <t>Sales Amount For Journal</t>
  </si>
  <si>
    <t>Sales Posting</t>
  </si>
  <si>
    <t>COSS For Journal</t>
  </si>
  <si>
    <t>COSS Posting</t>
  </si>
  <si>
    <t>Sanction Types</t>
  </si>
  <si>
    <t>Remarks</t>
  </si>
  <si>
    <t>2025_12_Dec</t>
  </si>
  <si>
    <t>25/0093/SS</t>
  </si>
  <si>
    <t>Coneco Ambalaj San. Ve Tic. A.S.</t>
  </si>
  <si>
    <t xml:space="preserve">Türkiye </t>
  </si>
  <si>
    <t>CARNIVAL VANILLA CONE SLEEVE</t>
  </si>
  <si>
    <t>PCS</t>
  </si>
  <si>
    <t>KG</t>
  </si>
  <si>
    <t>4819.40.90</t>
  </si>
  <si>
    <t>Turkey</t>
  </si>
  <si>
    <t>SBPLC_BMB</t>
  </si>
  <si>
    <t>USD</t>
  </si>
  <si>
    <t>MC-0741/11/2025</t>
  </si>
  <si>
    <t>Done</t>
  </si>
  <si>
    <t>20/2510629</t>
  </si>
  <si>
    <t>Asia Food Ingredients Solution PTE Ltd.</t>
  </si>
  <si>
    <t xml:space="preserve">Singapore </t>
  </si>
  <si>
    <t>ALKALISED COCOA POWDER, NATURAL COCOA POWDER</t>
  </si>
  <si>
    <t>BAG</t>
  </si>
  <si>
    <t>1805.00.00</t>
  </si>
  <si>
    <t>Malaysia</t>
  </si>
  <si>
    <t>MC-0728/11/2025</t>
  </si>
  <si>
    <t>122.7</t>
  </si>
  <si>
    <t>ISLAM &amp; SONS</t>
  </si>
  <si>
    <t>25/0096/SS</t>
  </si>
  <si>
    <t>Türkiye</t>
  </si>
  <si>
    <t>MC-0743/11/2025</t>
  </si>
  <si>
    <t>25/0094/SS</t>
  </si>
  <si>
    <t>HAZELNUT CONE SLEEVE, CARNIVAL VANILLA CONE SLEEVE</t>
  </si>
  <si>
    <t>MC-0742/11/2025</t>
  </si>
  <si>
    <t>MKN-31-105A</t>
  </si>
  <si>
    <t>MONDI KALE NOBEL AME.SAN.VE TIC.AS., SEVKETIYE MAH. COBANCESME KA VSAG</t>
  </si>
  <si>
    <t>Cone Sleeves- Butter Scotch (S-1188)</t>
  </si>
  <si>
    <t>MC-0767/12/2025</t>
  </si>
  <si>
    <t>MKN-31-104A</t>
  </si>
  <si>
    <t>Cone Sleeves- Carnival (S-1188)</t>
  </si>
  <si>
    <t>MC-0766/12/2025</t>
  </si>
  <si>
    <t>MKN-31-103A</t>
  </si>
  <si>
    <t>Cone Sleeves- Choco Delight (S-1188)</t>
  </si>
  <si>
    <t>MC-0765/12/2025</t>
  </si>
  <si>
    <t>MKN-31-102A</t>
  </si>
  <si>
    <t>Cone Sleeves- Choco Delight Mini (S-136), Cone Sleeves- Carnival Mini (S-136)</t>
  </si>
  <si>
    <t>MC-0764/12/2025</t>
  </si>
  <si>
    <t>25/0109/SS</t>
  </si>
  <si>
    <t>MC-0811/12/2025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</si>
</sst>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/mmm/yyyy;@"/>
    <numFmt numFmtId="165" formatCode="_(* #,##0_);_(* \(#,##0\);_(* &quot;-&quot;??_);_(@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rgb="FF0070C0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B05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FFC000"/>
        <bgColor theme="0" tint="-0.14999847407452621"/>
      </patternFill>
    </fill>
    <fill>
      <patternFill patternType="solid">
        <fgColor rgb="FFFFFF00"/>
        <bgColor theme="0" tint="-0.14999847407452621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/>
      <top/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3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/>
    </xf>
    <xf numFmtId="44" fontId="0" fillId="0" borderId="0" xfId="2" applyFont="1"/>
    <xf numFmtId="9" fontId="0" fillId="0" borderId="0" xfId="3" applyFont="1"/>
    <xf numFmtId="0" fontId="0" fillId="0" borderId="0" xfId="3" applyNumberFormat="1" applyFont="1"/>
    <xf numFmtId="43" fontId="2" fillId="0" borderId="0" xfId="1" applyFont="1"/>
    <xf numFmtId="0" fontId="2" fillId="0" borderId="0" xfId="0" applyFont="1"/>
    <xf numFmtId="0" fontId="4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64" fontId="4" fillId="0" borderId="2" xfId="0" applyNumberFormat="1" applyFont="1" applyBorder="1" applyAlignment="1">
      <alignment horizontal="center" vertical="center"/>
    </xf>
    <xf numFmtId="44" fontId="4" fillId="0" borderId="2" xfId="2" applyFont="1" applyBorder="1" applyAlignment="1">
      <alignment horizontal="center" vertical="center"/>
    </xf>
    <xf numFmtId="165" fontId="4" fillId="0" borderId="2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9" fontId="4" fillId="0" borderId="2" xfId="3" applyFont="1" applyBorder="1" applyAlignment="1">
      <alignment horizontal="center" vertical="center"/>
    </xf>
    <xf numFmtId="9" fontId="4" fillId="0" borderId="2" xfId="3" applyFont="1" applyBorder="1" applyAlignment="1">
      <alignment horizontal="center" vertical="center" wrapText="1"/>
    </xf>
    <xf numFmtId="43" fontId="4" fillId="0" borderId="2" xfId="1" applyFont="1" applyBorder="1" applyAlignment="1">
      <alignment horizontal="center" vertical="center" wrapText="1"/>
    </xf>
    <xf numFmtId="43" fontId="4" fillId="3" borderId="2" xfId="1" applyFont="1" applyFill="1" applyBorder="1" applyAlignment="1">
      <alignment horizontal="center" vertical="center" wrapText="1"/>
    </xf>
    <xf numFmtId="43" fontId="4" fillId="4" borderId="2" xfId="1" applyFont="1" applyFill="1" applyBorder="1" applyAlignment="1">
      <alignment horizontal="center" vertical="center" wrapText="1"/>
    </xf>
    <xf numFmtId="43" fontId="4" fillId="0" borderId="2" xfId="0" applyNumberFormat="1" applyFont="1" applyBorder="1" applyAlignment="1">
      <alignment horizontal="center" vertical="center" wrapText="1"/>
    </xf>
    <xf numFmtId="164" fontId="4" fillId="0" borderId="2" xfId="0" applyNumberFormat="1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7" fontId="6" fillId="5" borderId="9" xfId="0" applyNumberFormat="1" applyFont="1" applyFill="1" applyBorder="1" applyAlignment="1">
      <alignment horizontal="center" vertical="center"/>
    </xf>
    <xf numFmtId="0" fontId="7" fillId="6" borderId="10" xfId="0" applyFont="1" applyFill="1" applyBorder="1" applyAlignment="1">
      <alignment horizontal="center" vertical="center"/>
    </xf>
    <xf numFmtId="0" fontId="8" fillId="6" borderId="10" xfId="0" applyFont="1" applyFill="1" applyBorder="1" applyAlignment="1">
      <alignment horizontal="center" vertical="center"/>
    </xf>
    <xf numFmtId="164" fontId="8" fillId="6" borderId="10" xfId="0" applyNumberFormat="1" applyFont="1" applyFill="1" applyBorder="1" applyAlignment="1">
      <alignment horizontal="center"/>
    </xf>
    <xf numFmtId="44" fontId="7" fillId="0" borderId="10" xfId="2" applyFont="1" applyFill="1" applyBorder="1" applyAlignment="1">
      <alignment horizontal="center" vertical="center"/>
    </xf>
    <xf numFmtId="165" fontId="9" fillId="6" borderId="10" xfId="1" applyNumberFormat="1" applyFont="1" applyFill="1" applyBorder="1"/>
    <xf numFmtId="0" fontId="9" fillId="6" borderId="10" xfId="0" applyFont="1" applyFill="1" applyBorder="1" applyAlignment="1">
      <alignment horizontal="center" vertical="center"/>
    </xf>
    <xf numFmtId="165" fontId="7" fillId="6" borderId="10" xfId="1" applyNumberFormat="1" applyFont="1" applyFill="1" applyBorder="1" applyAlignment="1">
      <alignment horizontal="center" vertical="center"/>
    </xf>
    <xf numFmtId="12" fontId="7" fillId="7" borderId="10" xfId="0" applyNumberFormat="1" applyFont="1" applyFill="1" applyBorder="1" applyAlignment="1">
      <alignment horizontal="center" vertical="center"/>
    </xf>
    <xf numFmtId="164" fontId="7" fillId="6" borderId="10" xfId="0" applyNumberFormat="1" applyFont="1" applyFill="1" applyBorder="1" applyAlignment="1">
      <alignment horizontal="center" vertical="center"/>
    </xf>
    <xf numFmtId="164" fontId="7" fillId="8" borderId="10" xfId="0" applyNumberFormat="1" applyFont="1" applyFill="1" applyBorder="1" applyAlignment="1">
      <alignment horizontal="center" vertical="center"/>
    </xf>
    <xf numFmtId="49" fontId="7" fillId="6" borderId="10" xfId="1" applyNumberFormat="1" applyFont="1" applyFill="1" applyBorder="1" applyAlignment="1">
      <alignment horizontal="center" vertical="center"/>
    </xf>
    <xf numFmtId="9" fontId="7" fillId="6" borderId="10" xfId="3" applyFont="1" applyFill="1" applyBorder="1" applyAlignment="1">
      <alignment horizontal="center" vertical="center"/>
    </xf>
    <xf numFmtId="43" fontId="7" fillId="6" borderId="10" xfId="1" applyFont="1" applyFill="1" applyBorder="1" applyAlignment="1">
      <alignment horizontal="center" vertical="center"/>
    </xf>
    <xf numFmtId="43" fontId="7" fillId="0" borderId="10" xfId="1" applyFont="1" applyFill="1" applyBorder="1" applyAlignment="1">
      <alignment horizontal="center" vertical="center"/>
    </xf>
    <xf numFmtId="43" fontId="7" fillId="4" borderId="10" xfId="1" applyFont="1" applyFill="1" applyBorder="1" applyAlignment="1">
      <alignment horizontal="center" vertical="center"/>
    </xf>
    <xf numFmtId="43" fontId="7" fillId="9" borderId="10" xfId="1" applyFont="1" applyFill="1" applyBorder="1" applyAlignment="1">
      <alignment horizontal="center" vertical="center"/>
    </xf>
    <xf numFmtId="43" fontId="7" fillId="2" borderId="10" xfId="1" applyFont="1" applyFill="1" applyBorder="1" applyAlignment="1">
      <alignment horizontal="center" vertical="center"/>
    </xf>
    <xf numFmtId="43" fontId="7" fillId="2" borderId="10" xfId="0" applyNumberFormat="1" applyFont="1" applyFill="1" applyBorder="1" applyAlignment="1">
      <alignment horizontal="center" vertical="center"/>
    </xf>
    <xf numFmtId="164" fontId="7" fillId="6" borderId="10" xfId="0" applyNumberFormat="1" applyFont="1" applyFill="1" applyBorder="1" applyAlignment="1">
      <alignment horizontal="center"/>
    </xf>
    <xf numFmtId="43" fontId="0" fillId="6" borderId="10" xfId="0" applyNumberFormat="1" applyFill="1" applyBorder="1" applyAlignment="1">
      <alignment horizontal="center"/>
    </xf>
    <xf numFmtId="43" fontId="0" fillId="8" borderId="10" xfId="0" applyNumberFormat="1" applyFill="1" applyBorder="1" applyAlignment="1">
      <alignment horizontal="center"/>
    </xf>
    <xf numFmtId="164" fontId="0" fillId="6" borderId="10" xfId="0" applyNumberFormat="1" applyFill="1" applyBorder="1" applyAlignment="1">
      <alignment horizontal="center"/>
    </xf>
    <xf numFmtId="12" fontId="0" fillId="6" borderId="11" xfId="0" applyNumberFormat="1" applyFill="1" applyBorder="1" applyAlignment="1">
      <alignment horizontal="center"/>
    </xf>
    <xf numFmtId="164" fontId="0" fillId="6" borderId="11" xfId="0" applyNumberFormat="1" applyFill="1" applyBorder="1" applyAlignment="1">
      <alignment horizontal="center"/>
    </xf>
    <xf numFmtId="43" fontId="0" fillId="6" borderId="11" xfId="0" applyNumberFormat="1" applyFill="1" applyBorder="1" applyAlignment="1">
      <alignment horizontal="center"/>
    </xf>
    <xf numFmtId="43" fontId="0" fillId="10" borderId="10" xfId="1" applyFont="1" applyFill="1" applyBorder="1"/>
    <xf numFmtId="43" fontId="0" fillId="10" borderId="12" xfId="1" applyFont="1" applyFill="1" applyBorder="1"/>
    <xf numFmtId="164" fontId="0" fillId="10" borderId="12" xfId="1" applyNumberFormat="1" applyFont="1" applyFill="1" applyBorder="1"/>
    <xf numFmtId="43" fontId="0" fillId="7" borderId="12" xfId="1" applyFont="1" applyFill="1" applyBorder="1"/>
    <xf numFmtId="43" fontId="0" fillId="7" borderId="0" xfId="1" applyFont="1" applyFill="1" applyBorder="1"/>
    <xf numFmtId="43" fontId="0" fillId="0" borderId="0" xfId="1" applyFont="1" applyFill="1" applyBorder="1"/>
    <xf numFmtId="0" fontId="0" fillId="6" borderId="13" xfId="0" applyFill="1" applyBorder="1"/>
    <xf numFmtId="43" fontId="0" fillId="6" borderId="13" xfId="1" applyFont="1" applyFill="1" applyBorder="1"/>
    <xf numFmtId="43" fontId="0" fillId="0" borderId="14" xfId="0" applyNumberFormat="1" applyBorder="1"/>
    <xf numFmtId="43" fontId="0" fillId="0" borderId="0" xfId="0" applyNumberFormat="1"/>
    <xf numFmtId="49" fontId="0" fillId="0" borderId="0" xfId="0" applyNumberFormat="1"/>
    <xf numFmtId="0" fontId="7" fillId="0" borderId="10" xfId="0" applyFont="1" applyBorder="1" applyAlignment="1">
      <alignment horizontal="center" vertical="center"/>
    </xf>
    <xf numFmtId="164" fontId="8" fillId="0" borderId="10" xfId="0" applyNumberFormat="1" applyFont="1" applyBorder="1" applyAlignment="1">
      <alignment horizontal="center"/>
    </xf>
    <xf numFmtId="0" fontId="9" fillId="0" borderId="10" xfId="0" applyFont="1" applyBorder="1" applyAlignment="1">
      <alignment horizontal="center" vertical="center" wrapText="1"/>
    </xf>
    <xf numFmtId="165" fontId="9" fillId="0" borderId="10" xfId="1" applyNumberFormat="1" applyFont="1" applyBorder="1"/>
    <xf numFmtId="0" fontId="9" fillId="0" borderId="10" xfId="0" applyFont="1" applyBorder="1" applyAlignment="1">
      <alignment horizontal="center" vertical="center"/>
    </xf>
    <xf numFmtId="165" fontId="7" fillId="0" borderId="10" xfId="1" applyNumberFormat="1" applyFont="1" applyBorder="1" applyAlignment="1">
      <alignment horizontal="center" vertical="center"/>
    </xf>
    <xf numFmtId="12" fontId="7" fillId="11" borderId="10" xfId="0" applyNumberFormat="1" applyFont="1" applyFill="1" applyBorder="1" applyAlignment="1">
      <alignment horizontal="center" vertical="center"/>
    </xf>
    <xf numFmtId="164" fontId="7" fillId="0" borderId="10" xfId="0" applyNumberFormat="1" applyFont="1" applyBorder="1" applyAlignment="1">
      <alignment horizontal="center" vertical="center"/>
    </xf>
    <xf numFmtId="164" fontId="7" fillId="2" borderId="10" xfId="0" applyNumberFormat="1" applyFont="1" applyFill="1" applyBorder="1" applyAlignment="1">
      <alignment horizontal="center" vertical="center"/>
    </xf>
    <xf numFmtId="49" fontId="7" fillId="0" borderId="10" xfId="3" applyNumberFormat="1" applyFont="1" applyBorder="1" applyAlignment="1">
      <alignment horizontal="center" vertical="center"/>
    </xf>
    <xf numFmtId="9" fontId="7" fillId="0" borderId="10" xfId="3" applyFont="1" applyBorder="1" applyAlignment="1">
      <alignment horizontal="center" vertical="center"/>
    </xf>
    <xf numFmtId="43" fontId="7" fillId="0" borderId="10" xfId="1" applyFont="1" applyBorder="1" applyAlignment="1">
      <alignment horizontal="center" vertical="center"/>
    </xf>
    <xf numFmtId="49" fontId="7" fillId="0" borderId="10" xfId="1" applyNumberFormat="1" applyFont="1" applyBorder="1" applyAlignment="1">
      <alignment horizontal="center" vertical="center"/>
    </xf>
    <xf numFmtId="164" fontId="7" fillId="0" borderId="10" xfId="0" applyNumberFormat="1" applyFont="1" applyBorder="1" applyAlignment="1">
      <alignment horizontal="center"/>
    </xf>
    <xf numFmtId="43" fontId="0" fillId="0" borderId="10" xfId="0" applyNumberFormat="1" applyBorder="1" applyAlignment="1">
      <alignment horizontal="center"/>
    </xf>
    <xf numFmtId="43" fontId="0" fillId="2" borderId="10" xfId="0" applyNumberFormat="1" applyFill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0" fontId="0" fillId="0" borderId="12" xfId="0" applyBorder="1"/>
    <xf numFmtId="0" fontId="0" fillId="0" borderId="13" xfId="0" applyBorder="1"/>
    <xf numFmtId="43" fontId="0" fillId="0" borderId="13" xfId="1" applyFont="1" applyBorder="1"/>
    <xf numFmtId="49" fontId="7" fillId="6" borderId="10" xfId="3" applyNumberFormat="1" applyFont="1" applyFill="1" applyBorder="1" applyAlignment="1">
      <alignment horizontal="center" vertical="center"/>
    </xf>
    <xf numFmtId="43" fontId="0" fillId="0" borderId="10" xfId="1" applyFont="1" applyBorder="1"/>
    <xf numFmtId="0" fontId="0" fillId="7" borderId="12" xfId="0" applyFill="1" applyBorder="1"/>
    <xf numFmtId="0" fontId="0" fillId="7" borderId="0" xfId="0" applyFill="1"/>
    <xf numFmtId="0" fontId="8" fillId="0" borderId="10" xfId="0" applyFont="1" applyBorder="1" applyAlignment="1">
      <alignment horizontal="center" vertical="center"/>
    </xf>
    <xf numFmtId="43" fontId="7" fillId="0" borderId="10" xfId="1" applyFont="1" applyFill="1" applyBorder="1" applyAlignment="1">
      <alignment horizontal="right" vertical="center"/>
    </xf>
    <xf numFmtId="0" fontId="0" fillId="11" borderId="12" xfId="0" applyFill="1" applyBorder="1"/>
    <xf numFmtId="0" fontId="0" fillId="11" borderId="0" xfId="0" applyFill="1"/>
    <xf numFmtId="43" fontId="0" fillId="11" borderId="12" xfId="1" applyFont="1" applyFill="1" applyBorder="1"/>
    <xf numFmtId="43" fontId="7" fillId="12" borderId="10" xfId="1" applyFont="1" applyFill="1" applyBorder="1" applyAlignment="1">
      <alignment horizontal="center" vertical="center"/>
    </xf>
    <xf numFmtId="43" fontId="0" fillId="2" borderId="10" xfId="0" applyNumberFormat="1" applyFill="1" applyBorder="1" applyAlignment="1">
      <alignment horizontal="center" vertical="center"/>
    </xf>
    <xf numFmtId="0" fontId="0" fillId="2" borderId="12" xfId="0" applyFill="1" applyBorder="1"/>
    <xf numFmtId="0" fontId="0" fillId="2" borderId="0" xfId="0" applyFill="1"/>
    <xf numFmtId="0" fontId="0" fillId="6" borderId="10" xfId="0" applyFill="1" applyBorder="1" applyAlignment="1">
      <alignment horizontal="center" indent="1"/>
    </xf>
    <xf numFmtId="164" fontId="0" fillId="6" borderId="10" xfId="0" applyNumberFormat="1" applyFill="1" applyBorder="1" applyAlignment="1">
      <alignment horizontal="center" vertical="center"/>
    </xf>
    <xf numFmtId="0" fontId="0" fillId="8" borderId="12" xfId="0" applyFill="1" applyBorder="1"/>
    <xf numFmtId="0" fontId="0" fillId="8" borderId="0" xfId="0" applyFill="1"/>
    <xf numFmtId="0" fontId="7" fillId="0" borderId="9" xfId="0" applyFont="1" applyBorder="1" applyAlignment="1">
      <alignment horizontal="center" vertical="center"/>
    </xf>
    <xf numFmtId="44" fontId="7" fillId="0" borderId="10" xfId="2" applyFont="1" applyBorder="1" applyAlignment="1">
      <alignment horizontal="center" vertical="center"/>
    </xf>
    <xf numFmtId="12" fontId="7" fillId="0" borderId="10" xfId="0" applyNumberFormat="1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64" fontId="0" fillId="0" borderId="10" xfId="0" applyNumberFormat="1" applyBorder="1"/>
    <xf numFmtId="0" fontId="0" fillId="0" borderId="10" xfId="0" applyBorder="1"/>
    <xf numFmtId="43" fontId="0" fillId="0" borderId="10" xfId="0" applyNumberFormat="1" applyBorder="1"/>
    <xf numFmtId="0" fontId="7" fillId="6" borderId="9" xfId="0" applyFont="1" applyFill="1" applyBorder="1" applyAlignment="1">
      <alignment horizontal="center" vertical="center"/>
    </xf>
    <xf numFmtId="44" fontId="7" fillId="6" borderId="10" xfId="2" applyFont="1" applyFill="1" applyBorder="1" applyAlignment="1">
      <alignment horizontal="center" vertical="center"/>
    </xf>
    <xf numFmtId="12" fontId="7" fillId="6" borderId="10" xfId="0" applyNumberFormat="1" applyFont="1" applyFill="1" applyBorder="1" applyAlignment="1">
      <alignment horizontal="center" vertical="center"/>
    </xf>
    <xf numFmtId="164" fontId="7" fillId="6" borderId="10" xfId="3" applyNumberFormat="1" applyFont="1" applyFill="1" applyBorder="1" applyAlignment="1">
      <alignment horizontal="center" vertical="center"/>
    </xf>
    <xf numFmtId="164" fontId="0" fillId="6" borderId="10" xfId="0" applyNumberFormat="1" applyFill="1" applyBorder="1"/>
    <xf numFmtId="0" fontId="0" fillId="6" borderId="10" xfId="0" applyFill="1" applyBorder="1"/>
    <xf numFmtId="43" fontId="0" fillId="6" borderId="10" xfId="0" applyNumberFormat="1" applyFill="1" applyBorder="1"/>
    <xf numFmtId="0" fontId="0" fillId="6" borderId="12" xfId="0" applyFill="1" applyBorder="1"/>
    <xf numFmtId="0" fontId="0" fillId="6" borderId="0" xfId="0" applyFill="1"/>
    <xf numFmtId="164" fontId="7" fillId="0" borderId="10" xfId="3" applyNumberFormat="1" applyFont="1" applyBorder="1" applyAlignment="1">
      <alignment horizontal="center" vertical="center"/>
    </xf>
    <xf numFmtId="43" fontId="0" fillId="0" borderId="0" xfId="1" applyFont="1"/>
    <xf numFmtId="0" fontId="0" fillId="0" borderId="0" xfId="1" applyNumberFormat="1" applyFont="1"/>
    <xf numFmtId="43" fontId="0" fillId="5" borderId="10" xfId="1" applyFont="1" applyFill="1" applyBorder="1"/>
    <xf numFmtId="43" fontId="0" fillId="5" borderId="0" xfId="1" applyFont="1" applyFill="1" applyBorder="1"/>
    <xf numFmtId="164" fontId="0" fillId="0" borderId="0" xfId="0" applyNumberFormat="1" applyAlignment="1">
      <alignment horizontal="center" vertical="center"/>
    </xf>
    <xf numFmtId="44" fontId="0" fillId="0" borderId="0" xfId="0" applyNumberFormat="1"/>
    <xf numFmtId="4" fontId="0" fillId="0" borderId="0" xfId="0" applyNumberFormat="1"/>
    <xf numFmtId="0" fontId="3" fillId="0" borderId="0" xfId="0" applyFont="1" applyAlignment="1">
      <alignment horizontal="center" vertical="center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6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0" tint="-0.14999847407452621"/>
          <bgColor theme="0" tint="-0.14999847407452621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0" tint="-0.14999847407452621"/>
          <bgColor theme="0" tint="-0.14999847407452621"/>
        </patternFill>
      </fill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[$-409]d/mmm/yyyy;@"/>
      <fill>
        <patternFill patternType="solid">
          <fgColor indexed="64"/>
          <bgColor theme="7" tint="0.59999389629810485"/>
        </patternFill>
      </fill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7" tint="0.59999389629810485"/>
        </patternFill>
      </fill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7" tint="0.59999389629810485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theme="0" tint="-0.14999847407452621"/>
          <bgColor theme="0" tint="-0.14999847407452621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theme="0" tint="-0.14999847407452621"/>
          <bgColor theme="0" tint="-0.14999847407452621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64" formatCode="[$-409]d/mmm/yyyy;@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64" formatCode="[$-409]d/mmm/yyyy;@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64" formatCode="[$-409]d/mmm/yyyy;@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64" formatCode="[$-409]d/mmm/yyyy;@"/>
      <fill>
        <patternFill patternType="solid">
          <fgColor theme="0" tint="-0.14999847407452621"/>
          <bgColor theme="0" tint="-0.14999847407452621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theme="0" tint="-0.14999847407452621"/>
          <bgColor theme="0" tint="-0.14999847407452621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35" formatCode="_(* #,##0.00_);_(* \(#,##0.00\);_(* &quot;-&quot;??_);_(@_)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theme="0" tint="-0.14999847407452621"/>
          <bgColor theme="0" tint="-0.14999847407452621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64" formatCode="[$-409]d/mmm/yyyy;@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64" formatCode="[$-409]d/mmm/yyyy;@"/>
      <fill>
        <patternFill patternType="solid">
          <fgColor theme="0" tint="-0.14999847407452621"/>
          <bgColor theme="0" tint="-0.14999847407452621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theme="0" tint="-0.14999847407452621"/>
          <bgColor theme="0" tint="-0.14999847407452621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64" formatCode="[$-409]d/mmm/yyyy;@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64" formatCode="[$-409]d/mmm/yyyy;@"/>
      <fill>
        <patternFill patternType="solid">
          <fgColor theme="0" tint="-0.14999847407452621"/>
          <bgColor theme="0" tint="-0.14999847407452621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5" formatCode="_(* #,##0.00_);_(* \(#,##0.00\);_(* &quot;-&quot;??_);_(@_)"/>
      <fill>
        <patternFill patternType="solid">
          <fgColor indexed="64"/>
          <bgColor theme="5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5" formatCode="_(* #,##0.00_);_(* \(#,##0.00\);_(* &quot;-&quot;??_);_(@_)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0" formatCode="@"/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[$-409]d/mmm/yyyy;@"/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[$-409]d/mmm/yyyy;@"/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[$-409]d/mmm/yyyy;@"/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[$-409]d/mmm/yyyy;@"/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7" formatCode="#\ ?/?"/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5" formatCode="_(* #,##0_);_(* \(#,##0\);_(* &quot;-&quot;??_);_(@_)"/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[$-409]d/mmm/yyyy;@"/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thin">
          <color rgb="FF000000"/>
        </left>
        <right style="thin">
          <color indexed="64"/>
        </right>
      </border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BU NASAR TANVIR" id="{394902A4-C642-41B4-964E-DC6698C0D8DE}" userId="31d878c42963542b" providerId="Windows Live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65AFC8-04CF-4358-9FF6-03F23103226D}" name="NAS_T_LC_2025" displayName="NAS_T_LC_2025" ref="A5:BP23" totalsRowShown="0" headerRowDxfId="64" tableBorderDxfId="63">
  <autoFilter ref="A5:BP23" xr:uid="{BA4303AC-8F44-4159-828A-52E86B78F1A4}"/>
  <tableColumns count="68">
    <tableColumn id="1" xr3:uid="{7E00651C-9CFC-4B50-B98D-12F26424BB96}" name="Month" dataDxfId="62"/>
    <tableColumn id="2" xr3:uid="{3A8D0385-3C0C-4A07-9310-F12392720DDD}" name="SL" dataDxfId="61"/>
    <tableColumn id="3" xr3:uid="{19C15C9F-140D-4685-94D0-BD69F1DF10FE}" name="PFI No." dataDxfId="60"/>
    <tableColumn id="4" xr3:uid="{528D0B71-3F35-4E31-BF9E-41DAB8429D19}" name="PFI Date" dataDxfId="59"/>
    <tableColumn id="5" xr3:uid="{86C8084E-8F8D-4BA4-BC7B-8122744ED548}" name="Supplier Name" dataDxfId="58"/>
    <tableColumn id="6" xr3:uid="{E5F34C7C-254D-420E-97C4-6931F62436DD}" name="Supplier Country" dataDxfId="57"/>
    <tableColumn id="7" xr3:uid="{0EE0C11D-59DC-4487-AA60-25F3421DBFE5}" name="PFI Value" dataDxfId="56" dataCellStyle="Currency"/>
    <tableColumn id="8" xr3:uid="{5FD903AE-952A-474B-B680-3B8AF2269AE6}" name="Item Description" dataDxfId="55"/>
    <tableColumn id="9" xr3:uid="{B83A3CC1-E407-4DC1-BC55-34D6A53A5D06}" name="QTY_C" dataDxfId="54" dataCellStyle="Comma"/>
    <tableColumn id="10" xr3:uid="{6BFE4112-8582-4940-8B8F-B4750533DD76}" name="QTY_U" dataDxfId="53"/>
    <tableColumn id="11" xr3:uid="{61D6E1BC-0607-4F6F-AA58-4AB7B87D6F1A}" name="Weight_C" dataDxfId="52"/>
    <tableColumn id="12" xr3:uid="{86C9D8C6-3836-4EB0-8953-98D2497E0B48}" name="Weight_U" dataDxfId="51"/>
    <tableColumn id="13" xr3:uid="{6D17CF45-5B9A-4650-AC06-81615A22AD78}" name="HS Code" dataDxfId="50"/>
    <tableColumn id="14" xr3:uid="{BD89D535-9F36-4D08-AFFD-2F4B3F5B4CBE}" name="LC/TT No." dataDxfId="49"/>
    <tableColumn id="15" xr3:uid="{6B7422ED-94E6-4F50-9C7D-0A19DBA02422}" name="LC/ TT _x000a_Opening Date" dataDxfId="48"/>
    <tableColumn id="16" xr3:uid="{F64CB4ED-97DB-4F33-8885-1F8726277864}" name="LC/TT _x000a_Expiry Date" dataDxfId="47"/>
    <tableColumn id="17" xr3:uid="{8A927247-DDEF-44C2-96FA-F67A7D608AF8}" name="Shipment From" dataDxfId="46"/>
    <tableColumn id="18" xr3:uid="{58584F16-08E9-4A1F-AE58-10AFC5176B63}" name="Shipping Docs Received Date" dataDxfId="45" dataCellStyle="Percent"/>
    <tableColumn id="19" xr3:uid="{99A6CB66-6233-4DB5-8BAD-A8B66A198C40}" name="Bank" dataDxfId="44" dataCellStyle="Percent"/>
    <tableColumn id="20" xr3:uid="{6E8A114C-C41A-4E82-BFE8-D0B2378D5820}" name="Margin_%" dataDxfId="43" dataCellStyle="Comma"/>
    <tableColumn id="21" xr3:uid="{1D5FF66C-3011-4B6F-A7AC-925AB773C69E}" name="Currency" dataDxfId="42" dataCellStyle="Comma"/>
    <tableColumn id="22" xr3:uid="{9B109BB0-BF63-44C6-82F2-D9A5F7D643E9}" name="LC OP_Rate" dataDxfId="41" dataCellStyle="Comma"/>
    <tableColumn id="23" xr3:uid="{6B1ECDAF-2250-44D0-9DAC-42D04D0CE306}" name="LC Margin_Amt" dataDxfId="40" dataCellStyle="Comma">
      <calculatedColumnFormula>($G6*$V6)*$T6%</calculatedColumnFormula>
    </tableColumn>
    <tableColumn id="51" xr3:uid="{B5C38D67-33A7-4CE3-9EF9-6E9B54BB1B30}" name="LC opening Cost                     BDT" dataDxfId="39" dataCellStyle="Comma"/>
    <tableColumn id="43" xr3:uid="{4F9BAD29-8A9F-4943-894D-EF0BFCD19206}" name="Documents No or Cover note Number" dataDxfId="38" dataCellStyle="Comma"/>
    <tableColumn id="25" xr3:uid="{1AD13585-E952-4A92-B2F0-9854EA635841}" name="Insurance" dataDxfId="37" dataCellStyle="Comma"/>
    <tableColumn id="48" xr3:uid="{9BDEC0FE-5725-4BAC-BD81-BF3CD24DC5B5}" name="LC Amendment Charge" dataDxfId="36" dataCellStyle="Comma"/>
    <tableColumn id="47" xr3:uid="{7D7A4ABB-9857-4941-8EF4-037B6E2ABB89}" name="Swift Charge                                and Others" dataDxfId="35" dataCellStyle="Comma">
      <calculatedColumnFormula>NAS_T_LC_2025[[#This Row],[LC RT Value]]/NAS_T_LC_2025[[#This Row],[PFI Value]]</calculatedColumnFormula>
    </tableColumn>
    <tableColumn id="26" xr3:uid="{6B408521-161C-41ED-B117-5C24B504ABC1}" name="Doc_RT_Rate" dataDxfId="34" dataCellStyle="Comma"/>
    <tableColumn id="27" xr3:uid="{1EE5FB9C-E861-445A-8B6E-B5BFE3374B63}" name="LC RT Value" dataDxfId="33" dataCellStyle="Comma">
      <calculatedColumnFormula>$G6*$AC6</calculatedColumnFormula>
    </tableColumn>
    <tableColumn id="55" xr3:uid="{9D2A3BCD-04FB-4E1C-BB67-7059BBD21AEE}" name="LC Charge Posting" dataDxfId="32" dataCellStyle="Comma"/>
    <tableColumn id="28" xr3:uid="{009ABA5F-5C37-4C31-AD0D-1B11ECCE1A40}" name="Total LC Cost" dataDxfId="31" dataCellStyle="Comma">
      <calculatedColumnFormula>NAS_T_LC_2025[[#This Row],[LC opening Cost                     BDT]]+Z6+AD6+NAS_T_LC_2025[[#This Row],[LC Amendment Charge]]+NAS_T_LC_2025[[#This Row],[Swift Charge                                and Others]]</calculatedColumnFormula>
    </tableColumn>
    <tableColumn id="29" xr3:uid="{DDC669CF-EE53-4301-A60B-B48F28AE2E5B}" name="Advanced Received BDT" dataDxfId="30"/>
    <tableColumn id="30" xr3:uid="{EB051724-4142-4350-BEEE-E2C846EB564A}" name="AR_Date" dataDxfId="29"/>
    <tableColumn id="56" xr3:uid="{C9B9E088-1F73-4E59-94BC-0C5C0F629879}" name="Advance Posting" dataDxfId="28"/>
    <tableColumn id="31" xr3:uid="{4546F53C-732D-4AB1-9EA6-BBECE6DE5B90}" name="Rest Amount  Received BDT" dataDxfId="27"/>
    <tableColumn id="32" xr3:uid="{29F5BECE-4C40-4C62-9A32-DEEE6701561E}" name="RAR_Date" dataDxfId="26"/>
    <tableColumn id="57" xr3:uid="{F54161ED-6750-4F61-A364-D07DD225ED7D}" name="Rest Amount Posting" dataDxfId="25"/>
    <tableColumn id="33" xr3:uid="{179971D4-C9B6-4A2C-A033-C0901C4786ED}" name="Total Received BDT" dataDxfId="24"/>
    <tableColumn id="64" xr3:uid="{30F4B39B-DE92-4B83-8F90-104CBB50F67B}" name="LC Closing Bill" dataDxfId="23">
      <calculatedColumnFormula>AF6-AM6</calculatedColumnFormula>
    </tableColumn>
    <tableColumn id="63" xr3:uid="{EED058AC-C099-42A3-A87E-D9902AB7D450}" name="LC Closing Bill Amount Received Date" dataDxfId="22"/>
    <tableColumn id="34" xr3:uid="{A0DBFE1E-5327-4FEE-B569-EEE3F96E72D1}" name="Duty Advanced " dataDxfId="21"/>
    <tableColumn id="35" xr3:uid="{CCE80D6C-71CA-432F-8B10-895965ECB928}" name="Date" dataDxfId="20"/>
    <tableColumn id="58" xr3:uid="{BBBDF79F-5748-4B06-AD3B-5039599CB2E8}" name="Duty Advance posting" dataDxfId="19"/>
    <tableColumn id="44" xr3:uid="{D913A676-D3A5-4CA3-91BB-D28AC4917EBD}" name="Bill Of Entry Number" dataDxfId="18"/>
    <tableColumn id="45" xr3:uid="{67BFDA0C-B3D4-444B-84D0-643D4B4DEF84}" name="Bill Of Entry Date" dataDxfId="17"/>
    <tableColumn id="36" xr3:uid="{590A223E-C77E-4840-945C-0B0D0AC3A6E5}" name="Customs Duty" dataDxfId="16"/>
    <tableColumn id="59" xr3:uid="{225817FE-2CEA-4361-8E19-82A6590E882E}" name="Custome Duty Posting (Purchase Journal)" dataDxfId="15"/>
    <tableColumn id="46" xr3:uid="{CA7B283D-63C8-4281-8E83-E1AD455F08B4}" name="C&amp;F Clearance Party" dataDxfId="14"/>
    <tableColumn id="37" xr3:uid="{5FB673E7-7EB4-4329-B78F-38CFE03B98BE}" name="Total C&amp;F Cost" dataDxfId="13"/>
    <tableColumn id="62" xr3:uid="{6F8EE74D-351E-491C-91D3-79AD44597907}" name="Total C&amp;F Cost Posting" dataDxfId="12"/>
    <tableColumn id="38" xr3:uid="{CEFA4BFA-E435-45B9-B845-CB78E86BFDE8}" name="Payable/ Receivable" dataDxfId="11" dataCellStyle="Comma">
      <calculatedColumnFormula>(AM6+AP6)-AF6-AU6-AX6</calculatedColumnFormula>
    </tableColumn>
    <tableColumn id="39" xr3:uid="{A541FBAE-C68C-4BD2-AD52-059E51B0EE29}" name="Received Amount" dataDxfId="10" dataCellStyle="Comma"/>
    <tableColumn id="40" xr3:uid="{3307847C-E76E-47B5-AB93-CEEBF3E8AB91}" name="Received Date" dataDxfId="9" dataCellStyle="Comma"/>
    <tableColumn id="41" xr3:uid="{B2B833EA-C9BD-4717-94F2-43B391060EC2}" name="VAT Return" dataDxfId="8"/>
    <tableColumn id="65" xr3:uid="{2517B0E5-05D3-4B1B-A0CF-D942A6CB1723}" name="VAT Return Received Date"/>
    <tableColumn id="66" xr3:uid="{1BDBE1AA-7153-4BB2-A84E-2CBD052F9008}" name="VAT Return Posting"/>
    <tableColumn id="42" xr3:uid="{6035FED1-15C6-48EB-80C9-BB3BB801B419}" name="InCome Tax" dataDxfId="7"/>
    <tableColumn id="50" xr3:uid="{0CEBBA1E-6126-45B5-B330-2AA7B00BA5C0}" name="Bank Statement Amount" dataDxfId="6" dataCellStyle="Comma">
      <calculatedColumnFormula>1700622+5045220.86</calculatedColumnFormula>
    </tableColumn>
    <tableColumn id="49" xr3:uid="{CCD17FCF-A9DB-497F-9409-B685D959ADCA}" name="Bank vs LC RT Value Amount Different" dataDxfId="5">
      <calculatedColumnFormula>NAS_T_LC_2025[[#This Row],[Bank Statement Amount]]-NAS_T_LC_2025[[#This Row],[LC RT Value]]</calculatedColumnFormula>
    </tableColumn>
    <tableColumn id="53" xr3:uid="{897585F7-9884-4775-9704-A1FC4DBFBEAE}" name="LC Commission" dataDxfId="4"/>
    <tableColumn id="67" xr3:uid="{2828AECC-3549-44AC-9899-B89AAE27ADF5}" name="LC Commission Amount Received Date" dataDxfId="3"/>
    <tableColumn id="24" xr3:uid="{D9FBADE1-A0D1-44B0-A67D-1667FD3121E9}" name="Sales Amount For Journal"/>
    <tableColumn id="60" xr3:uid="{C5F31BB9-0BAA-4457-AED9-BF42524CC7C2}" name="Sales Posting"/>
    <tableColumn id="52" xr3:uid="{1623E171-A292-48BE-A634-964776D3C30B}" name="COSS For Journal"/>
    <tableColumn id="61" xr3:uid="{6C6BC347-8251-4BC9-ADA3-B85F95313BCD}" name="COSS Posting"/>
    <tableColumn id="54" xr3:uid="{AA032101-10A4-4EC9-B0D2-AC4618F4B1DF}" name="Sanction Types"/>
    <tableColumn id="68" xr3:uid="{AE462E76-26BB-416A-A764-1E4C06136361}" name="Remark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H11" dT="2026-03-29T10:14:05.90" personId="{394902A4-C642-41B4-964E-DC6698C0D8DE}" id="{87A5982F-7426-4744-BCF0-AA9ADC6F446C}">
    <text>1 Day Interest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8F873-73FE-4B7F-AB1A-283A8FC9A393}">
  <sheetPr>
    <pageSetUpPr fitToPage="1"/>
  </sheetPr>
  <dimension ref="A2:BX34"/>
  <sheetViews>
    <sheetView tabSelected="1" zoomScaleNormal="89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F20" sqref="F20"/>
    </sheetView>
  </sheetViews>
  <sheetFormatPr defaultRowHeight="15" x14ac:dyDescent="0.25"/>
  <cols>
    <col min="1" max="1" width="11.7109375" bestFit="1" customWidth="1"/>
    <col min="2" max="2" width="12.42578125" style="2" bestFit="1" customWidth="1"/>
    <col min="3" max="3" width="12.7109375" style="3" customWidth="1"/>
    <col min="4" max="4" width="12.7109375" customWidth="1"/>
    <col min="5" max="5" width="64.140625" bestFit="1" customWidth="1"/>
    <col min="6" max="6" width="17" style="4" customWidth="1"/>
    <col min="7" max="7" width="14.28515625" bestFit="1" customWidth="1"/>
    <col min="8" max="8" width="67.85546875" customWidth="1"/>
    <col min="9" max="9" width="11.140625" customWidth="1"/>
    <col min="10" max="10" width="13.5703125" customWidth="1"/>
    <col min="11" max="11" width="13.7109375" customWidth="1"/>
    <col min="12" max="12" width="11.28515625" customWidth="1"/>
    <col min="13" max="14" width="16.28515625" customWidth="1"/>
    <col min="15" max="15" width="18.85546875" customWidth="1"/>
    <col min="16" max="16" width="16.7109375" customWidth="1"/>
    <col min="17" max="17" width="15.5703125" style="5" customWidth="1"/>
    <col min="18" max="18" width="27" style="5" customWidth="1"/>
    <col min="19" max="19" width="16.5703125" style="125" customWidth="1"/>
    <col min="20" max="20" width="13" style="125" customWidth="1"/>
    <col min="21" max="21" width="19.28515625" style="125" customWidth="1"/>
    <col min="22" max="22" width="19.28515625" style="126" customWidth="1"/>
    <col min="23" max="25" width="19.28515625" style="125" customWidth="1"/>
    <col min="26" max="27" width="26.85546875" style="125" customWidth="1"/>
    <col min="28" max="28" width="17.85546875" style="125" customWidth="1"/>
    <col min="29" max="31" width="19.28515625" style="125" customWidth="1"/>
    <col min="32" max="32" width="17.140625" customWidth="1"/>
    <col min="33" max="33" width="27.5703125" style="1" customWidth="1"/>
    <col min="34" max="35" width="17.140625" customWidth="1"/>
    <col min="36" max="36" width="30.85546875" style="1" customWidth="1"/>
    <col min="37" max="38" width="17.7109375" customWidth="1"/>
    <col min="39" max="41" width="18.85546875" customWidth="1"/>
    <col min="42" max="42" width="20.28515625" customWidth="1"/>
    <col min="43" max="46" width="14.42578125" customWidth="1"/>
    <col min="47" max="49" width="17.28515625" customWidth="1"/>
    <col min="50" max="51" width="20" customWidth="1"/>
    <col min="52" max="52" width="27" customWidth="1"/>
    <col min="53" max="53" width="17.7109375" customWidth="1"/>
    <col min="54" max="54" width="13.7109375" customWidth="1"/>
    <col min="55" max="57" width="20.85546875" customWidth="1"/>
    <col min="58" max="59" width="21.7109375" customWidth="1"/>
    <col min="60" max="62" width="13.28515625" customWidth="1"/>
    <col min="63" max="63" width="18.28515625" bestFit="1" customWidth="1"/>
    <col min="64" max="64" width="18.28515625" customWidth="1"/>
    <col min="65" max="65" width="21" bestFit="1" customWidth="1"/>
    <col min="66" max="66" width="21" customWidth="1"/>
    <col min="69" max="69" width="14" bestFit="1" customWidth="1"/>
    <col min="72" max="72" width="12.5703125" bestFit="1" customWidth="1"/>
    <col min="75" max="75" width="12.5703125" bestFit="1" customWidth="1"/>
    <col min="76" max="76" width="11.140625" bestFit="1" customWidth="1"/>
  </cols>
  <sheetData>
    <row r="2" spans="1:76" ht="15" customHeight="1" x14ac:dyDescent="0.25">
      <c r="A2" s="132" t="s">
        <v>0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132"/>
      <c r="AD2" s="132"/>
      <c r="AE2" s="132"/>
      <c r="AF2" s="132"/>
    </row>
    <row r="3" spans="1:76" ht="15" customHeight="1" x14ac:dyDescent="0.25">
      <c r="A3" s="132"/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X3" s="132"/>
      <c r="Y3" s="132"/>
      <c r="Z3" s="132"/>
      <c r="AA3" s="132"/>
      <c r="AB3" s="132"/>
      <c r="AC3" s="132"/>
      <c r="AD3" s="132"/>
      <c r="AE3" s="132"/>
      <c r="AF3" s="132"/>
    </row>
    <row r="4" spans="1:76" x14ac:dyDescent="0.25">
      <c r="B4" s="2">
        <v>2025</v>
      </c>
      <c r="Q4"/>
      <c r="R4"/>
      <c r="S4" s="5"/>
      <c r="T4" s="5"/>
      <c r="U4" s="5"/>
      <c r="V4" s="6"/>
      <c r="W4" s="7">
        <f>SUBTOTAL(9,W6:W23)</f>
        <v>9286931.3249999993</v>
      </c>
      <c r="X4" s="7">
        <f>SUBTOTAL(9,X6:X23)</f>
        <v>196739.66000000003</v>
      </c>
      <c r="Y4" s="7"/>
      <c r="Z4" s="7">
        <f>SUBTOTAL(9,Z6:Z23)</f>
        <v>150147</v>
      </c>
      <c r="AA4" s="7"/>
      <c r="AB4" s="7"/>
      <c r="AC4" s="7"/>
      <c r="AD4" s="7">
        <f t="shared" ref="AD4:AM4" si="0">SUBTOTAL(9,AD6:AD23)</f>
        <v>32255744.979999997</v>
      </c>
      <c r="AE4" s="7"/>
      <c r="AF4" s="7">
        <f t="shared" si="0"/>
        <v>32602631.639999997</v>
      </c>
      <c r="AG4" s="7">
        <f t="shared" si="0"/>
        <v>16517675</v>
      </c>
      <c r="AH4" s="8"/>
      <c r="AI4" s="8"/>
      <c r="AJ4" s="7">
        <f t="shared" si="0"/>
        <v>16545395</v>
      </c>
      <c r="AK4" s="8"/>
      <c r="AL4" s="8"/>
      <c r="AM4" s="7">
        <f t="shared" si="0"/>
        <v>33063070</v>
      </c>
      <c r="AN4" s="7"/>
      <c r="AO4" s="7"/>
      <c r="AP4" s="8"/>
      <c r="AQ4" s="8"/>
      <c r="AR4" s="8"/>
      <c r="AS4" s="8"/>
      <c r="AT4" s="8"/>
      <c r="AU4" s="8"/>
      <c r="AV4" s="8"/>
      <c r="AW4" s="8"/>
      <c r="AX4" s="8"/>
      <c r="AY4" s="8"/>
      <c r="AZ4" s="7">
        <f t="shared" ref="AZ4:BA4" si="1">SUBTOTAL(9,AZ6:AZ23)</f>
        <v>-145139.36000000039</v>
      </c>
      <c r="BA4" s="7">
        <f t="shared" si="1"/>
        <v>32054</v>
      </c>
      <c r="BB4" s="8"/>
      <c r="BC4" s="8"/>
      <c r="BD4" s="8"/>
      <c r="BE4" s="8"/>
      <c r="BF4" s="8"/>
      <c r="BG4" s="8"/>
    </row>
    <row r="5" spans="1:76" ht="75.75" thickBot="1" x14ac:dyDescent="0.3">
      <c r="A5" s="9" t="s">
        <v>1</v>
      </c>
      <c r="B5" s="10" t="s">
        <v>2</v>
      </c>
      <c r="C5" s="11" t="s">
        <v>3</v>
      </c>
      <c r="D5" s="12" t="s">
        <v>4</v>
      </c>
      <c r="E5" s="11" t="s">
        <v>5</v>
      </c>
      <c r="F5" s="11" t="s">
        <v>6</v>
      </c>
      <c r="G5" s="13" t="s">
        <v>7</v>
      </c>
      <c r="H5" s="11" t="s">
        <v>8</v>
      </c>
      <c r="I5" s="11" t="s">
        <v>9</v>
      </c>
      <c r="J5" s="11" t="s">
        <v>10</v>
      </c>
      <c r="K5" s="14" t="s">
        <v>11</v>
      </c>
      <c r="L5" s="11" t="s">
        <v>12</v>
      </c>
      <c r="M5" s="11" t="s">
        <v>13</v>
      </c>
      <c r="N5" s="11" t="s">
        <v>14</v>
      </c>
      <c r="O5" s="15" t="s">
        <v>15</v>
      </c>
      <c r="P5" s="15" t="s">
        <v>16</v>
      </c>
      <c r="Q5" s="16" t="s">
        <v>17</v>
      </c>
      <c r="R5" s="17" t="s">
        <v>18</v>
      </c>
      <c r="S5" s="18" t="s">
        <v>19</v>
      </c>
      <c r="T5" s="19" t="s">
        <v>20</v>
      </c>
      <c r="U5" s="19" t="s">
        <v>21</v>
      </c>
      <c r="V5" s="19" t="s">
        <v>22</v>
      </c>
      <c r="W5" s="20" t="s">
        <v>23</v>
      </c>
      <c r="X5" s="21" t="s">
        <v>24</v>
      </c>
      <c r="Y5" s="22" t="s">
        <v>25</v>
      </c>
      <c r="Z5" s="21" t="s">
        <v>26</v>
      </c>
      <c r="AA5" s="23" t="s">
        <v>27</v>
      </c>
      <c r="AB5" s="23" t="s">
        <v>28</v>
      </c>
      <c r="AC5" s="21" t="s">
        <v>29</v>
      </c>
      <c r="AD5" s="21" t="s">
        <v>30</v>
      </c>
      <c r="AE5" s="21" t="s">
        <v>31</v>
      </c>
      <c r="AF5" s="21" t="s">
        <v>32</v>
      </c>
      <c r="AG5" s="21" t="s">
        <v>33</v>
      </c>
      <c r="AH5" s="12" t="s">
        <v>34</v>
      </c>
      <c r="AI5" s="12" t="s">
        <v>35</v>
      </c>
      <c r="AJ5" s="24" t="s">
        <v>36</v>
      </c>
      <c r="AK5" s="12" t="s">
        <v>37</v>
      </c>
      <c r="AL5" s="25" t="s">
        <v>38</v>
      </c>
      <c r="AM5" s="15" t="s">
        <v>39</v>
      </c>
      <c r="AN5" s="15" t="s">
        <v>40</v>
      </c>
      <c r="AO5" s="15" t="s">
        <v>41</v>
      </c>
      <c r="AP5" s="15" t="s">
        <v>42</v>
      </c>
      <c r="AQ5" s="16" t="s">
        <v>43</v>
      </c>
      <c r="AR5" s="26" t="s">
        <v>44</v>
      </c>
      <c r="AS5" s="27" t="s">
        <v>45</v>
      </c>
      <c r="AT5" s="27" t="s">
        <v>46</v>
      </c>
      <c r="AU5" s="28" t="s">
        <v>47</v>
      </c>
      <c r="AV5" s="28" t="s">
        <v>48</v>
      </c>
      <c r="AW5" s="29" t="s">
        <v>49</v>
      </c>
      <c r="AX5" s="28" t="s">
        <v>50</v>
      </c>
      <c r="AY5" s="26" t="s">
        <v>51</v>
      </c>
      <c r="AZ5" s="18" t="s">
        <v>52</v>
      </c>
      <c r="BA5" s="26" t="s">
        <v>53</v>
      </c>
      <c r="BB5" s="30" t="s">
        <v>54</v>
      </c>
      <c r="BC5" s="28" t="s">
        <v>55</v>
      </c>
      <c r="BD5" s="31" t="s">
        <v>56</v>
      </c>
      <c r="BE5" s="31" t="s">
        <v>57</v>
      </c>
      <c r="BF5" s="32" t="s">
        <v>58</v>
      </c>
      <c r="BG5" s="30" t="s">
        <v>59</v>
      </c>
      <c r="BH5" s="30" t="s">
        <v>60</v>
      </c>
      <c r="BI5" s="30" t="s">
        <v>61</v>
      </c>
      <c r="BJ5" s="30" t="s">
        <v>62</v>
      </c>
      <c r="BK5" s="30" t="s">
        <v>63</v>
      </c>
      <c r="BL5" s="30" t="s">
        <v>64</v>
      </c>
      <c r="BM5" s="33" t="s">
        <v>65</v>
      </c>
      <c r="BN5" s="30" t="s">
        <v>66</v>
      </c>
      <c r="BO5" s="26" t="s">
        <v>67</v>
      </c>
      <c r="BP5" s="26" t="s">
        <v>68</v>
      </c>
    </row>
    <row r="6" spans="1:76" x14ac:dyDescent="0.25">
      <c r="A6" s="34" t="s">
        <v>69</v>
      </c>
      <c r="B6" s="35">
        <v>1</v>
      </c>
      <c r="C6" s="36" t="s">
        <v>70</v>
      </c>
      <c r="D6" s="37">
        <v>45962</v>
      </c>
      <c r="E6" s="35" t="s">
        <v>71</v>
      </c>
      <c r="F6" s="35" t="s">
        <v>72</v>
      </c>
      <c r="G6" s="38">
        <v>55440</v>
      </c>
      <c r="H6" s="35" t="s">
        <v>73</v>
      </c>
      <c r="I6" s="39">
        <v>7920000</v>
      </c>
      <c r="J6" s="40" t="s">
        <v>74</v>
      </c>
      <c r="K6" s="41">
        <v>15992.3</v>
      </c>
      <c r="L6" s="35" t="s">
        <v>75</v>
      </c>
      <c r="M6" s="35" t="s">
        <v>76</v>
      </c>
      <c r="N6" s="42">
        <v>135625014413</v>
      </c>
      <c r="O6" s="43">
        <v>46008</v>
      </c>
      <c r="P6" s="43">
        <v>46097</v>
      </c>
      <c r="Q6" s="35" t="s">
        <v>77</v>
      </c>
      <c r="R6" s="44">
        <v>46069</v>
      </c>
      <c r="S6" s="43" t="s">
        <v>78</v>
      </c>
      <c r="T6" s="45">
        <v>25</v>
      </c>
      <c r="U6" s="46" t="s">
        <v>79</v>
      </c>
      <c r="V6" s="47">
        <v>122.7</v>
      </c>
      <c r="W6" s="48">
        <f>($G6*$V6)*$T6%</f>
        <v>1700622</v>
      </c>
      <c r="X6" s="48">
        <v>36276.44</v>
      </c>
      <c r="Y6" s="48" t="s">
        <v>80</v>
      </c>
      <c r="Z6" s="47">
        <v>30877</v>
      </c>
      <c r="AA6" s="47"/>
      <c r="AB6" s="47"/>
      <c r="AC6" s="45">
        <f t="shared" ref="AC6:AC13" si="2">$V6</f>
        <v>122.7</v>
      </c>
      <c r="AD6" s="48">
        <v>6745842.8600000003</v>
      </c>
      <c r="AE6" s="49" t="s">
        <v>81</v>
      </c>
      <c r="AF6" s="50">
        <f>NAS_T_LC_2025[[#This Row],[LC opening Cost                     BDT]]+Z6+AD6+NAS_T_LC_2025[[#This Row],[LC Amendment Charge]]+NAS_T_LC_2025[[#This Row],[Swift Charge                                and Others]]</f>
        <v>6812996.3000000007</v>
      </c>
      <c r="AG6" s="51">
        <v>3395700</v>
      </c>
      <c r="AH6" s="43">
        <v>45979</v>
      </c>
      <c r="AI6" s="49" t="s">
        <v>81</v>
      </c>
      <c r="AJ6" s="52">
        <v>3395700</v>
      </c>
      <c r="AK6" s="53">
        <v>46001</v>
      </c>
      <c r="AL6" s="49" t="s">
        <v>81</v>
      </c>
      <c r="AM6" s="54">
        <f>SUM(AG6+AJ6)</f>
        <v>6791400</v>
      </c>
      <c r="AN6" s="54">
        <f t="shared" ref="AN6:AN23" si="3">AF6-AM6</f>
        <v>21596.300000000745</v>
      </c>
      <c r="AO6" s="54"/>
      <c r="AP6" s="55">
        <v>4580000</v>
      </c>
      <c r="AQ6" s="56">
        <v>46091</v>
      </c>
      <c r="AR6" s="49" t="s">
        <v>81</v>
      </c>
      <c r="AS6" s="57">
        <v>426826</v>
      </c>
      <c r="AT6" s="58">
        <v>46082</v>
      </c>
      <c r="AU6" s="59">
        <v>4484318.4000000004</v>
      </c>
      <c r="AV6" s="49" t="s">
        <v>81</v>
      </c>
      <c r="AW6" s="59"/>
      <c r="AX6" s="59">
        <v>210653.37</v>
      </c>
      <c r="AY6" s="49" t="s">
        <v>81</v>
      </c>
      <c r="AZ6" s="60">
        <f>(AM6+AP6)-AF6-AU6-AX6</f>
        <v>-136568.07000000111</v>
      </c>
      <c r="BA6" s="61"/>
      <c r="BB6" s="62"/>
      <c r="BC6" s="63">
        <v>139082.64000000001</v>
      </c>
      <c r="BD6" s="64"/>
      <c r="BE6" s="65"/>
      <c r="BF6" s="66"/>
      <c r="BG6" s="67">
        <f>1700622+5045220.86</f>
        <v>6745842.8600000003</v>
      </c>
      <c r="BH6" s="68">
        <f>NAS_T_LC_2025[[#This Row],[Bank Statement Amount]]-NAS_T_LC_2025[[#This Row],[LC RT Value]]</f>
        <v>0</v>
      </c>
      <c r="BI6" s="69">
        <v>337292.14</v>
      </c>
      <c r="BJ6" s="69"/>
      <c r="BK6" s="69">
        <f>NAS_T_LC_2025[[#This Row],[COSS For Journal]]+NAS_T_LC_2025[[#This Row],[LC Commission]]</f>
        <v>11984342.850000001</v>
      </c>
      <c r="BL6" s="49" t="s">
        <v>81</v>
      </c>
      <c r="BM6" s="69">
        <f>NAS_T_LC_2025[[#This Row],[LC opening Cost                     BDT]]+NAS_T_LC_2025[[#This Row],[Insurance]]+NAS_T_LC_2025[[#This Row],[LC RT Value]]+NAS_T_LC_2025[[#This Row],[Customs Duty]]+NAS_T_LC_2025[[#This Row],[VAT Return]]+NAS_T_LC_2025[[#This Row],[Total C&amp;F Cost]]</f>
        <v>11647050.710000001</v>
      </c>
      <c r="BN6" s="49" t="s">
        <v>81</v>
      </c>
      <c r="BT6" s="69"/>
      <c r="BV6" s="70"/>
      <c r="BW6" s="70"/>
      <c r="BX6" s="69">
        <f>BT6*0.05</f>
        <v>0</v>
      </c>
    </row>
    <row r="7" spans="1:76" x14ac:dyDescent="0.25">
      <c r="A7" s="34"/>
      <c r="B7" s="71">
        <v>2</v>
      </c>
      <c r="C7" s="71" t="s">
        <v>82</v>
      </c>
      <c r="D7" s="72">
        <v>45960</v>
      </c>
      <c r="E7" s="71" t="s">
        <v>83</v>
      </c>
      <c r="F7" s="73" t="s">
        <v>84</v>
      </c>
      <c r="G7" s="38">
        <v>18850</v>
      </c>
      <c r="H7" s="71" t="s">
        <v>85</v>
      </c>
      <c r="I7" s="74">
        <v>520</v>
      </c>
      <c r="J7" s="75" t="s">
        <v>86</v>
      </c>
      <c r="K7" s="76">
        <v>13000</v>
      </c>
      <c r="L7" s="71" t="s">
        <v>75</v>
      </c>
      <c r="M7" s="71" t="s">
        <v>87</v>
      </c>
      <c r="N7" s="77">
        <v>135625014139</v>
      </c>
      <c r="O7" s="78">
        <v>45987</v>
      </c>
      <c r="P7" s="78">
        <v>46075</v>
      </c>
      <c r="Q7" s="71" t="s">
        <v>88</v>
      </c>
      <c r="R7" s="79">
        <v>46020</v>
      </c>
      <c r="S7" s="78" t="s">
        <v>78</v>
      </c>
      <c r="T7" s="80">
        <v>25</v>
      </c>
      <c r="U7" s="81" t="s">
        <v>79</v>
      </c>
      <c r="V7" s="82">
        <v>122.85</v>
      </c>
      <c r="W7" s="48">
        <f t="shared" ref="W7:W14" si="4">($G7*$V7)*$T7%</f>
        <v>578930.625</v>
      </c>
      <c r="X7" s="48">
        <v>15637.32</v>
      </c>
      <c r="Y7" s="48" t="s">
        <v>89</v>
      </c>
      <c r="Z7" s="82">
        <v>10511</v>
      </c>
      <c r="AA7" s="82"/>
      <c r="AB7" s="82"/>
      <c r="AC7" s="83" t="s">
        <v>90</v>
      </c>
      <c r="AD7" s="48">
        <f>$G7*$AC7</f>
        <v>2312895</v>
      </c>
      <c r="AE7" s="49" t="s">
        <v>81</v>
      </c>
      <c r="AF7" s="50">
        <f>NAS_T_LC_2025[[#This Row],[LC opening Cost                     BDT]]+Z7+AD7+NAS_T_LC_2025[[#This Row],[LC Amendment Charge]]+NAS_T_LC_2025[[#This Row],[Swift Charge                                and Others]]</f>
        <v>2339043.3199999998</v>
      </c>
      <c r="AG7" s="51">
        <v>1154565</v>
      </c>
      <c r="AH7" s="78">
        <v>45979</v>
      </c>
      <c r="AI7" s="49" t="s">
        <v>81</v>
      </c>
      <c r="AJ7" s="52">
        <v>1154565</v>
      </c>
      <c r="AK7" s="84">
        <v>46001</v>
      </c>
      <c r="AL7" s="49" t="s">
        <v>81</v>
      </c>
      <c r="AM7" s="85">
        <f>SUM(AG7+AJ7)</f>
        <v>2309130</v>
      </c>
      <c r="AN7" s="85">
        <f t="shared" si="3"/>
        <v>29913.319999999832</v>
      </c>
      <c r="AO7" s="85"/>
      <c r="AP7" s="86">
        <v>1900000</v>
      </c>
      <c r="AQ7" s="87">
        <v>46041</v>
      </c>
      <c r="AR7" s="49" t="s">
        <v>81</v>
      </c>
      <c r="AS7" s="57">
        <v>2382027</v>
      </c>
      <c r="AT7" s="87">
        <v>46021</v>
      </c>
      <c r="AU7" s="85">
        <v>1513599.64</v>
      </c>
      <c r="AV7" s="49" t="s">
        <v>81</v>
      </c>
      <c r="AW7" s="85" t="s">
        <v>91</v>
      </c>
      <c r="AX7" s="85">
        <f>400000+5536.41</f>
        <v>405536.41</v>
      </c>
      <c r="AY7" s="49" t="s">
        <v>81</v>
      </c>
      <c r="AZ7" s="60">
        <f t="shared" ref="AZ7:AZ23" si="5">(AM7+AP7)-AF7-AU7-AX7</f>
        <v>-49049.369999999704</v>
      </c>
      <c r="BA7" s="61">
        <v>32054</v>
      </c>
      <c r="BB7" s="62">
        <v>46054</v>
      </c>
      <c r="BC7" s="88"/>
      <c r="BF7" s="89"/>
      <c r="BG7" s="90">
        <f>578930.62+1733964.38</f>
        <v>2312895</v>
      </c>
      <c r="BH7" s="68">
        <f>NAS_T_LC_2025[[#This Row],[Bank Statement Amount]]-NAS_T_LC_2025[[#This Row],[LC RT Value]]</f>
        <v>0</v>
      </c>
      <c r="BI7" s="69">
        <v>115644.75</v>
      </c>
      <c r="BJ7" s="69"/>
      <c r="BK7" s="69">
        <f>NAS_T_LC_2025[[#This Row],[COSS For Journal]]+NAS_T_LC_2025[[#This Row],[LC Commission]]</f>
        <v>4373824.12</v>
      </c>
      <c r="BL7" s="49" t="s">
        <v>81</v>
      </c>
      <c r="BM7" s="69">
        <f>NAS_T_LC_2025[[#This Row],[LC opening Cost                     BDT]]+NAS_T_LC_2025[[#This Row],[Insurance]]+NAS_T_LC_2025[[#This Row],[LC RT Value]]+NAS_T_LC_2025[[#This Row],[Customs Duty]]+NAS_T_LC_2025[[#This Row],[VAT Return]]+NAS_T_LC_2025[[#This Row],[Total C&amp;F Cost]]</f>
        <v>4258179.37</v>
      </c>
      <c r="BN7" s="49" t="s">
        <v>81</v>
      </c>
      <c r="BQ7" s="69"/>
    </row>
    <row r="8" spans="1:76" x14ac:dyDescent="0.25">
      <c r="A8" s="34"/>
      <c r="B8" s="35">
        <v>3</v>
      </c>
      <c r="C8" s="36" t="s">
        <v>92</v>
      </c>
      <c r="D8" s="37">
        <v>45966</v>
      </c>
      <c r="E8" s="36" t="s">
        <v>71</v>
      </c>
      <c r="F8" s="36" t="s">
        <v>93</v>
      </c>
      <c r="G8" s="38">
        <v>27720</v>
      </c>
      <c r="H8" s="35" t="s">
        <v>73</v>
      </c>
      <c r="I8" s="39">
        <v>3960000</v>
      </c>
      <c r="J8" s="40" t="s">
        <v>74</v>
      </c>
      <c r="K8" s="41">
        <v>7875</v>
      </c>
      <c r="L8" s="35" t="s">
        <v>75</v>
      </c>
      <c r="M8" s="35" t="s">
        <v>76</v>
      </c>
      <c r="N8" s="42">
        <v>135625014474</v>
      </c>
      <c r="O8" s="43">
        <v>46012</v>
      </c>
      <c r="P8" s="43">
        <v>46101</v>
      </c>
      <c r="Q8" s="35" t="s">
        <v>77</v>
      </c>
      <c r="R8" s="44">
        <v>46069</v>
      </c>
      <c r="S8" s="43" t="s">
        <v>78</v>
      </c>
      <c r="T8" s="91">
        <v>25</v>
      </c>
      <c r="U8" s="46" t="s">
        <v>79</v>
      </c>
      <c r="V8" s="47">
        <v>122.7</v>
      </c>
      <c r="W8" s="48">
        <f t="shared" si="4"/>
        <v>850311</v>
      </c>
      <c r="X8" s="92">
        <v>20630.72</v>
      </c>
      <c r="Y8" s="48" t="s">
        <v>94</v>
      </c>
      <c r="Z8" s="47">
        <v>15449</v>
      </c>
      <c r="AA8" s="47"/>
      <c r="AB8" s="47"/>
      <c r="AC8" s="45">
        <f t="shared" si="2"/>
        <v>122.7</v>
      </c>
      <c r="AD8" s="48">
        <v>3392662.7</v>
      </c>
      <c r="AE8" s="49" t="s">
        <v>81</v>
      </c>
      <c r="AF8" s="50">
        <f>NAS_T_LC_2025[[#This Row],[LC opening Cost                     BDT]]+Z8+AD8+NAS_T_LC_2025[[#This Row],[LC Amendment Charge]]+NAS_T_LC_2025[[#This Row],[Swift Charge                                and Others]]</f>
        <v>3428742.4200000004</v>
      </c>
      <c r="AG8" s="51">
        <v>1697850</v>
      </c>
      <c r="AH8" s="43">
        <v>45978</v>
      </c>
      <c r="AI8" s="49" t="s">
        <v>81</v>
      </c>
      <c r="AJ8" s="52">
        <v>1697850</v>
      </c>
      <c r="AK8" s="53">
        <v>46001</v>
      </c>
      <c r="AL8" s="49" t="s">
        <v>81</v>
      </c>
      <c r="AM8" s="54">
        <f>SUM(AG8+AJ8)</f>
        <v>3395700</v>
      </c>
      <c r="AN8" s="54">
        <f t="shared" si="3"/>
        <v>33042.420000000391</v>
      </c>
      <c r="AO8" s="54"/>
      <c r="AP8" s="55">
        <v>2190000</v>
      </c>
      <c r="AQ8" s="56">
        <v>46097</v>
      </c>
      <c r="AR8" s="49" t="s">
        <v>81</v>
      </c>
      <c r="AS8" s="57">
        <v>534850</v>
      </c>
      <c r="AT8" s="56">
        <v>46095</v>
      </c>
      <c r="AU8" s="54">
        <v>2142744.81</v>
      </c>
      <c r="AV8" s="49" t="s">
        <v>81</v>
      </c>
      <c r="AW8" s="54"/>
      <c r="AX8" s="54">
        <f>67372.76+50000</f>
        <v>117372.76</v>
      </c>
      <c r="AY8" s="49" t="s">
        <v>81</v>
      </c>
      <c r="AZ8" s="60">
        <f t="shared" si="5"/>
        <v>-103159.99000000044</v>
      </c>
      <c r="BA8" s="61"/>
      <c r="BB8" s="62"/>
      <c r="BC8" s="93">
        <v>99632.03</v>
      </c>
      <c r="BD8" s="94"/>
      <c r="BF8" s="66"/>
      <c r="BG8" s="67">
        <f>850311+2542351.7</f>
        <v>3392662.7</v>
      </c>
      <c r="BH8" s="68">
        <f>NAS_T_LC_2025[[#This Row],[Bank Statement Amount]]-NAS_T_LC_2025[[#This Row],[LC RT Value]]</f>
        <v>0</v>
      </c>
      <c r="BI8" s="69">
        <v>169633.14</v>
      </c>
      <c r="BJ8" s="69"/>
      <c r="BK8" s="69">
        <f>NAS_T_LC_2025[[#This Row],[COSS For Journal]]+NAS_T_LC_2025[[#This Row],[LC Commission]]</f>
        <v>5958125.1600000001</v>
      </c>
      <c r="BL8" s="49" t="s">
        <v>81</v>
      </c>
      <c r="BM8" s="69">
        <f>NAS_T_LC_2025[[#This Row],[LC opening Cost                     BDT]]+NAS_T_LC_2025[[#This Row],[Insurance]]+NAS_T_LC_2025[[#This Row],[LC RT Value]]+NAS_T_LC_2025[[#This Row],[Customs Duty]]+NAS_T_LC_2025[[#This Row],[VAT Return]]+NAS_T_LC_2025[[#This Row],[Total C&amp;F Cost]]</f>
        <v>5788492.0200000005</v>
      </c>
      <c r="BN8" s="49" t="s">
        <v>81</v>
      </c>
    </row>
    <row r="9" spans="1:76" x14ac:dyDescent="0.25">
      <c r="A9" s="34"/>
      <c r="B9" s="71">
        <v>4</v>
      </c>
      <c r="C9" s="95" t="s">
        <v>95</v>
      </c>
      <c r="D9" s="72">
        <v>45962</v>
      </c>
      <c r="E9" s="95" t="s">
        <v>71</v>
      </c>
      <c r="F9" s="95" t="s">
        <v>93</v>
      </c>
      <c r="G9" s="38">
        <v>12600</v>
      </c>
      <c r="H9" s="71" t="s">
        <v>96</v>
      </c>
      <c r="I9" s="74">
        <v>1800000</v>
      </c>
      <c r="J9" s="75" t="s">
        <v>74</v>
      </c>
      <c r="K9" s="76">
        <v>0</v>
      </c>
      <c r="L9" s="71"/>
      <c r="M9" s="71" t="s">
        <v>76</v>
      </c>
      <c r="N9" s="77">
        <v>135625014168</v>
      </c>
      <c r="O9" s="78">
        <v>45988</v>
      </c>
      <c r="P9" s="78">
        <v>46043</v>
      </c>
      <c r="Q9" s="71" t="s">
        <v>77</v>
      </c>
      <c r="R9" s="79">
        <v>46015</v>
      </c>
      <c r="S9" s="78" t="s">
        <v>78</v>
      </c>
      <c r="T9" s="80">
        <v>25</v>
      </c>
      <c r="U9" s="81" t="s">
        <v>79</v>
      </c>
      <c r="V9" s="82">
        <v>122.85</v>
      </c>
      <c r="W9" s="48">
        <f t="shared" si="4"/>
        <v>386977.5</v>
      </c>
      <c r="X9" s="92">
        <v>12105.39</v>
      </c>
      <c r="Y9" s="48" t="s">
        <v>97</v>
      </c>
      <c r="Z9" s="82">
        <v>7035</v>
      </c>
      <c r="AA9" s="82"/>
      <c r="AB9" s="82"/>
      <c r="AC9" s="83" t="s">
        <v>90</v>
      </c>
      <c r="AD9" s="96">
        <v>1580376</v>
      </c>
      <c r="AE9" s="49" t="s">
        <v>81</v>
      </c>
      <c r="AF9" s="50">
        <f>NAS_T_LC_2025[[#This Row],[LC opening Cost                     BDT]]+Z9+AD9+NAS_T_LC_2025[[#This Row],[LC Amendment Charge]]+NAS_T_LC_2025[[#This Row],[Swift Charge                                and Others]]</f>
        <v>1599516.39</v>
      </c>
      <c r="AG9" s="51">
        <v>771750</v>
      </c>
      <c r="AH9" s="78">
        <v>45978</v>
      </c>
      <c r="AI9" s="49" t="s">
        <v>81</v>
      </c>
      <c r="AJ9" s="52">
        <v>771750</v>
      </c>
      <c r="AK9" s="84">
        <v>46001</v>
      </c>
      <c r="AL9" s="49" t="s">
        <v>81</v>
      </c>
      <c r="AM9" s="85">
        <f>SUM(AG9+AJ9)</f>
        <v>1543500</v>
      </c>
      <c r="AN9" s="85">
        <f t="shared" si="3"/>
        <v>56016.389999999898</v>
      </c>
      <c r="AO9" s="85"/>
      <c r="AP9" s="86">
        <v>1100000</v>
      </c>
      <c r="AQ9" s="87">
        <v>46061</v>
      </c>
      <c r="AR9" s="49" t="s">
        <v>81</v>
      </c>
      <c r="AS9" s="57">
        <v>423801</v>
      </c>
      <c r="AT9" s="87">
        <v>46081</v>
      </c>
      <c r="AU9" s="85">
        <v>1041043.75</v>
      </c>
      <c r="AV9" s="49" t="s">
        <v>81</v>
      </c>
      <c r="AW9" s="85" t="s">
        <v>91</v>
      </c>
      <c r="AX9" s="85">
        <f>90000+16709.93</f>
        <v>106709.93</v>
      </c>
      <c r="AY9" s="49" t="s">
        <v>81</v>
      </c>
      <c r="AZ9" s="60">
        <f t="shared" si="5"/>
        <v>-103770.06999999989</v>
      </c>
      <c r="BA9" s="61"/>
      <c r="BB9" s="62"/>
      <c r="BC9" s="97">
        <v>48351.839999999997</v>
      </c>
      <c r="BD9" s="98"/>
      <c r="BF9" s="89"/>
      <c r="BG9" s="90">
        <f>386977.5+1193398.5</f>
        <v>1580376</v>
      </c>
      <c r="BH9" s="68">
        <f>NAS_T_LC_2025[[#This Row],[Bank Statement Amount]]-NAS_T_LC_2025[[#This Row],[LC RT Value]]</f>
        <v>0</v>
      </c>
      <c r="BI9" s="69">
        <v>79018.8</v>
      </c>
      <c r="BJ9" s="69"/>
      <c r="BK9" s="69">
        <f>NAS_T_LC_2025[[#This Row],[COSS For Journal]]+NAS_T_LC_2025[[#This Row],[LC Commission]]</f>
        <v>2874640.7099999995</v>
      </c>
      <c r="BL9" s="49" t="s">
        <v>81</v>
      </c>
      <c r="BM9" s="69">
        <f>NAS_T_LC_2025[[#This Row],[LC opening Cost                     BDT]]+NAS_T_LC_2025[[#This Row],[Insurance]]+NAS_T_LC_2025[[#This Row],[LC RT Value]]+NAS_T_LC_2025[[#This Row],[Customs Duty]]+NAS_T_LC_2025[[#This Row],[VAT Return]]+NAS_T_LC_2025[[#This Row],[Total C&amp;F Cost]]</f>
        <v>2795621.9099999997</v>
      </c>
      <c r="BN9" s="49" t="s">
        <v>81</v>
      </c>
    </row>
    <row r="10" spans="1:76" x14ac:dyDescent="0.25">
      <c r="A10" s="34"/>
      <c r="B10" s="35">
        <v>5</v>
      </c>
      <c r="C10" s="36" t="s">
        <v>98</v>
      </c>
      <c r="D10" s="37">
        <v>45971</v>
      </c>
      <c r="E10" s="35" t="s">
        <v>99</v>
      </c>
      <c r="F10" s="36" t="s">
        <v>93</v>
      </c>
      <c r="G10" s="38">
        <v>12600</v>
      </c>
      <c r="H10" s="35" t="s">
        <v>100</v>
      </c>
      <c r="I10" s="39">
        <v>1800000</v>
      </c>
      <c r="J10" s="40" t="s">
        <v>74</v>
      </c>
      <c r="K10" s="41">
        <v>3750</v>
      </c>
      <c r="L10" s="35" t="s">
        <v>75</v>
      </c>
      <c r="M10" s="35" t="s">
        <v>76</v>
      </c>
      <c r="N10" s="42">
        <v>135625014334</v>
      </c>
      <c r="O10" s="43">
        <v>46001</v>
      </c>
      <c r="P10" s="43">
        <v>46090</v>
      </c>
      <c r="Q10" s="35" t="s">
        <v>77</v>
      </c>
      <c r="R10" s="44">
        <v>46015</v>
      </c>
      <c r="S10" s="43" t="s">
        <v>78</v>
      </c>
      <c r="T10" s="91">
        <v>25</v>
      </c>
      <c r="U10" s="46" t="s">
        <v>79</v>
      </c>
      <c r="V10" s="47">
        <v>122.7</v>
      </c>
      <c r="W10" s="48">
        <f t="shared" si="4"/>
        <v>386505</v>
      </c>
      <c r="X10" s="48">
        <v>12096.69</v>
      </c>
      <c r="Y10" s="48" t="s">
        <v>101</v>
      </c>
      <c r="Z10" s="47">
        <v>7035</v>
      </c>
      <c r="AA10" s="47"/>
      <c r="AB10" s="47"/>
      <c r="AC10" s="45">
        <f t="shared" si="2"/>
        <v>122.7</v>
      </c>
      <c r="AD10" s="48">
        <v>1506252.93</v>
      </c>
      <c r="AE10" s="49" t="s">
        <v>81</v>
      </c>
      <c r="AF10" s="50">
        <f>NAS_T_LC_2025[[#This Row],[LC opening Cost                     BDT]]+Z10+AD10+NAS_T_LC_2025[[#This Row],[LC Amendment Charge]]+NAS_T_LC_2025[[#This Row],[Swift Charge                                and Others]]</f>
        <v>1525384.6199999999</v>
      </c>
      <c r="AG10" s="51">
        <v>771750</v>
      </c>
      <c r="AH10" s="43">
        <v>45981</v>
      </c>
      <c r="AI10" s="49" t="s">
        <v>81</v>
      </c>
      <c r="AJ10" s="52">
        <v>771750</v>
      </c>
      <c r="AK10" s="53">
        <v>46001</v>
      </c>
      <c r="AL10" s="49" t="s">
        <v>81</v>
      </c>
      <c r="AM10" s="54">
        <f t="shared" ref="AM10:AM14" si="6">SUM(AG10+AJ10)</f>
        <v>1543500</v>
      </c>
      <c r="AN10" s="54">
        <f t="shared" si="3"/>
        <v>-18115.380000000121</v>
      </c>
      <c r="AO10" s="54"/>
      <c r="AP10" s="55">
        <v>1020000</v>
      </c>
      <c r="AQ10" s="56">
        <v>46061</v>
      </c>
      <c r="AR10" s="49" t="s">
        <v>81</v>
      </c>
      <c r="AS10" s="57">
        <v>423803</v>
      </c>
      <c r="AT10" s="56">
        <v>46081</v>
      </c>
      <c r="AU10" s="54">
        <v>952890.24</v>
      </c>
      <c r="AV10" s="49" t="s">
        <v>81</v>
      </c>
      <c r="AW10" s="85" t="s">
        <v>91</v>
      </c>
      <c r="AX10" s="54">
        <f>100000+14317.19</f>
        <v>114317.19</v>
      </c>
      <c r="AY10" s="49" t="s">
        <v>81</v>
      </c>
      <c r="AZ10" s="60">
        <f t="shared" si="5"/>
        <v>-29092.049999999872</v>
      </c>
      <c r="BA10" s="61"/>
      <c r="BB10" s="62"/>
      <c r="BC10" s="93">
        <v>44252</v>
      </c>
      <c r="BD10" s="94"/>
      <c r="BF10" s="66"/>
      <c r="BG10" s="67">
        <f>386505+1119747.93</f>
        <v>1506252.93</v>
      </c>
      <c r="BH10" s="68">
        <f>NAS_T_LC_2025[[#This Row],[Bank Statement Amount]]-NAS_T_LC_2025[[#This Row],[LC RT Value]]</f>
        <v>0</v>
      </c>
      <c r="BI10" s="69">
        <v>75312.649999999994</v>
      </c>
      <c r="BJ10" s="69"/>
      <c r="BK10" s="69">
        <f>NAS_T_LC_2025[[#This Row],[COSS For Journal]]+NAS_T_LC_2025[[#This Row],[LC Commission]]</f>
        <v>2712156.6999999997</v>
      </c>
      <c r="BL10" s="49" t="s">
        <v>81</v>
      </c>
      <c r="BM10" s="69">
        <f>NAS_T_LC_2025[[#This Row],[LC opening Cost                     BDT]]+NAS_T_LC_2025[[#This Row],[Insurance]]+NAS_T_LC_2025[[#This Row],[LC RT Value]]+NAS_T_LC_2025[[#This Row],[Customs Duty]]+NAS_T_LC_2025[[#This Row],[VAT Return]]+NAS_T_LC_2025[[#This Row],[Total C&amp;F Cost]]</f>
        <v>2636844.0499999998</v>
      </c>
      <c r="BN10" s="49" t="s">
        <v>81</v>
      </c>
    </row>
    <row r="11" spans="1:76" x14ac:dyDescent="0.25">
      <c r="A11" s="34"/>
      <c r="B11" s="71">
        <v>6</v>
      </c>
      <c r="C11" s="71" t="s">
        <v>102</v>
      </c>
      <c r="D11" s="72">
        <v>45971</v>
      </c>
      <c r="E11" s="71" t="s">
        <v>99</v>
      </c>
      <c r="F11" s="95" t="s">
        <v>93</v>
      </c>
      <c r="G11" s="38">
        <v>27300</v>
      </c>
      <c r="H11" s="71" t="s">
        <v>103</v>
      </c>
      <c r="I11" s="74">
        <v>3900000</v>
      </c>
      <c r="J11" s="75" t="s">
        <v>74</v>
      </c>
      <c r="K11" s="76">
        <v>7875</v>
      </c>
      <c r="L11" s="71" t="s">
        <v>75</v>
      </c>
      <c r="M11" s="71" t="s">
        <v>76</v>
      </c>
      <c r="N11" s="77">
        <v>135625014434</v>
      </c>
      <c r="O11" s="78">
        <v>46009</v>
      </c>
      <c r="P11" s="78">
        <v>46098</v>
      </c>
      <c r="Q11" s="71" t="s">
        <v>77</v>
      </c>
      <c r="R11" s="79">
        <v>46075</v>
      </c>
      <c r="S11" s="78" t="s">
        <v>78</v>
      </c>
      <c r="T11" s="80">
        <v>25</v>
      </c>
      <c r="U11" s="81" t="s">
        <v>79</v>
      </c>
      <c r="V11" s="82">
        <v>122.7</v>
      </c>
      <c r="W11" s="48">
        <f t="shared" si="4"/>
        <v>837427.5</v>
      </c>
      <c r="X11" s="92">
        <v>20393.669999999998</v>
      </c>
      <c r="Y11" s="48" t="s">
        <v>104</v>
      </c>
      <c r="Z11" s="82">
        <v>15210</v>
      </c>
      <c r="AA11" s="82"/>
      <c r="AB11" s="82"/>
      <c r="AC11" s="83">
        <f t="shared" si="2"/>
        <v>122.7</v>
      </c>
      <c r="AD11" s="48">
        <v>3153880.8</v>
      </c>
      <c r="AE11" s="49" t="s">
        <v>81</v>
      </c>
      <c r="AF11" s="50">
        <f>NAS_T_LC_2025[[#This Row],[LC opening Cost                     BDT]]+Z11+AD11+NAS_T_LC_2025[[#This Row],[LC Amendment Charge]]+NAS_T_LC_2025[[#This Row],[Swift Charge                                and Others]]</f>
        <v>3189484.4699999997</v>
      </c>
      <c r="AG11" s="51">
        <v>1672125</v>
      </c>
      <c r="AH11" s="78">
        <v>45981</v>
      </c>
      <c r="AI11" s="49" t="s">
        <v>81</v>
      </c>
      <c r="AJ11" s="51">
        <v>1672125</v>
      </c>
      <c r="AK11" s="84">
        <v>46001</v>
      </c>
      <c r="AL11" s="49" t="s">
        <v>81</v>
      </c>
      <c r="AM11" s="85">
        <f>SUM(AG11+AJ11)</f>
        <v>3344250</v>
      </c>
      <c r="AN11" s="85">
        <f t="shared" si="3"/>
        <v>-154765.53000000026</v>
      </c>
      <c r="AO11" s="85"/>
      <c r="AP11" s="86">
        <v>2060000</v>
      </c>
      <c r="AQ11" s="87">
        <v>46100</v>
      </c>
      <c r="AR11" s="49" t="s">
        <v>81</v>
      </c>
      <c r="AS11" s="57">
        <v>541240</v>
      </c>
      <c r="AT11" s="87">
        <v>46096</v>
      </c>
      <c r="AU11" s="85">
        <v>1992931.3</v>
      </c>
      <c r="AV11" s="49" t="s">
        <v>81</v>
      </c>
      <c r="AW11" s="85"/>
      <c r="AX11" s="85">
        <f>63784.83+44000+4000</f>
        <v>111784.83</v>
      </c>
      <c r="AY11" s="49" t="s">
        <v>81</v>
      </c>
      <c r="AZ11" s="60">
        <f t="shared" si="5"/>
        <v>110049.40000000021</v>
      </c>
      <c r="BA11" s="61"/>
      <c r="BB11" s="62"/>
      <c r="BC11" s="99">
        <v>92657.48</v>
      </c>
      <c r="BD11" s="98"/>
      <c r="BF11" s="89"/>
      <c r="BG11" s="90">
        <f>837427.5+2317421.69</f>
        <v>3154849.19</v>
      </c>
      <c r="BH11" s="68">
        <f>NAS_T_LC_2025[[#This Row],[Bank Statement Amount]]-NAS_T_LC_2025[[#This Row],[LC RT Value]]</f>
        <v>968.39000000013039</v>
      </c>
      <c r="BI11" s="69">
        <v>157694.04</v>
      </c>
      <c r="BJ11" s="69"/>
      <c r="BK11" s="69">
        <f>NAS_T_LC_2025[[#This Row],[COSS For Journal]]+NAS_T_LC_2025[[#This Row],[LC Commission]]</f>
        <v>5544552.1200000001</v>
      </c>
      <c r="BL11" s="49" t="s">
        <v>81</v>
      </c>
      <c r="BM11" s="69">
        <f>NAS_T_LC_2025[[#This Row],[LC opening Cost                     BDT]]+NAS_T_LC_2025[[#This Row],[Insurance]]+NAS_T_LC_2025[[#This Row],[LC RT Value]]+NAS_T_LC_2025[[#This Row],[Customs Duty]]+NAS_T_LC_2025[[#This Row],[VAT Return]]+NAS_T_LC_2025[[#This Row],[Total C&amp;F Cost]]</f>
        <v>5386858.0800000001</v>
      </c>
      <c r="BN11" s="49" t="s">
        <v>81</v>
      </c>
    </row>
    <row r="12" spans="1:76" x14ac:dyDescent="0.25">
      <c r="A12" s="34"/>
      <c r="B12" s="35">
        <v>7</v>
      </c>
      <c r="C12" s="35" t="s">
        <v>105</v>
      </c>
      <c r="D12" s="37">
        <v>45971</v>
      </c>
      <c r="E12" s="35" t="s">
        <v>99</v>
      </c>
      <c r="F12" s="36" t="s">
        <v>93</v>
      </c>
      <c r="G12" s="38">
        <v>27300</v>
      </c>
      <c r="H12" s="35" t="s">
        <v>106</v>
      </c>
      <c r="I12" s="39">
        <v>3900000</v>
      </c>
      <c r="J12" s="40" t="s">
        <v>74</v>
      </c>
      <c r="K12" s="41">
        <v>7875</v>
      </c>
      <c r="L12" s="35" t="s">
        <v>75</v>
      </c>
      <c r="M12" s="35" t="s">
        <v>76</v>
      </c>
      <c r="N12" s="42">
        <v>135625014432</v>
      </c>
      <c r="O12" s="43">
        <v>46009</v>
      </c>
      <c r="P12" s="43">
        <v>46098</v>
      </c>
      <c r="Q12" s="35" t="s">
        <v>77</v>
      </c>
      <c r="R12" s="44">
        <v>46071</v>
      </c>
      <c r="S12" s="43" t="s">
        <v>78</v>
      </c>
      <c r="T12" s="91">
        <v>25</v>
      </c>
      <c r="U12" s="46" t="s">
        <v>79</v>
      </c>
      <c r="V12" s="47">
        <v>122.7</v>
      </c>
      <c r="W12" s="48">
        <f t="shared" si="4"/>
        <v>837427.5</v>
      </c>
      <c r="X12" s="48">
        <v>20393.669999999998</v>
      </c>
      <c r="Y12" s="48" t="s">
        <v>107</v>
      </c>
      <c r="Z12" s="47">
        <v>15210</v>
      </c>
      <c r="AA12" s="47"/>
      <c r="AB12" s="47"/>
      <c r="AC12" s="45">
        <f t="shared" si="2"/>
        <v>122.7</v>
      </c>
      <c r="AD12" s="100">
        <v>3063180.96</v>
      </c>
      <c r="AE12" s="49" t="s">
        <v>81</v>
      </c>
      <c r="AF12" s="50">
        <f>NAS_T_LC_2025[[#This Row],[LC opening Cost                     BDT]]+Z12+AD12+NAS_T_LC_2025[[#This Row],[LC Amendment Charge]]+NAS_T_LC_2025[[#This Row],[Swift Charge                                and Others]]</f>
        <v>3098784.63</v>
      </c>
      <c r="AG12" s="51">
        <v>1672125</v>
      </c>
      <c r="AH12" s="43">
        <v>45981</v>
      </c>
      <c r="AI12" s="49" t="s">
        <v>81</v>
      </c>
      <c r="AJ12" s="51">
        <v>1672125</v>
      </c>
      <c r="AK12" s="53">
        <v>46001</v>
      </c>
      <c r="AL12" s="49" t="s">
        <v>81</v>
      </c>
      <c r="AM12" s="54">
        <f t="shared" si="6"/>
        <v>3344250</v>
      </c>
      <c r="AN12" s="54">
        <f t="shared" si="3"/>
        <v>-245465.37000000011</v>
      </c>
      <c r="AO12" s="54"/>
      <c r="AP12" s="54">
        <v>1990000</v>
      </c>
      <c r="AQ12" s="56">
        <v>46141</v>
      </c>
      <c r="AR12" s="49" t="s">
        <v>81</v>
      </c>
      <c r="AS12" s="57">
        <v>563013</v>
      </c>
      <c r="AT12" s="56">
        <v>46105</v>
      </c>
      <c r="AU12" s="54">
        <v>1935694.17</v>
      </c>
      <c r="AV12" s="49" t="s">
        <v>81</v>
      </c>
      <c r="AW12" s="54"/>
      <c r="AX12" s="54">
        <f>63414.76+44000+2000</f>
        <v>109414.76000000001</v>
      </c>
      <c r="AY12" s="49" t="s">
        <v>81</v>
      </c>
      <c r="AZ12" s="60">
        <f t="shared" si="5"/>
        <v>190356.44000000018</v>
      </c>
      <c r="BA12" s="61"/>
      <c r="BB12" s="62"/>
      <c r="BC12" s="93">
        <v>89992.82</v>
      </c>
      <c r="BD12" s="94"/>
      <c r="BF12" s="66"/>
      <c r="BG12" s="67">
        <f>837427.5+2225753.46</f>
        <v>3063180.96</v>
      </c>
      <c r="BH12" s="68">
        <f>NAS_T_LC_2025[[#This Row],[Bank Statement Amount]]-NAS_T_LC_2025[[#This Row],[LC RT Value]]</f>
        <v>0</v>
      </c>
      <c r="BI12" s="69">
        <v>153159.04999999999</v>
      </c>
      <c r="BJ12" s="69"/>
      <c r="BK12" s="69">
        <f>NAS_T_LC_2025[[#This Row],[COSS For Journal]]+NAS_T_LC_2025[[#This Row],[LC Commission]]</f>
        <v>5387045.4299999997</v>
      </c>
      <c r="BL12" s="49" t="s">
        <v>81</v>
      </c>
      <c r="BM12" s="69">
        <f>NAS_T_LC_2025[[#This Row],[LC opening Cost                     BDT]]+NAS_T_LC_2025[[#This Row],[Insurance]]+NAS_T_LC_2025[[#This Row],[LC RT Value]]+NAS_T_LC_2025[[#This Row],[Customs Duty]]+NAS_T_LC_2025[[#This Row],[VAT Return]]+NAS_T_LC_2025[[#This Row],[Total C&amp;F Cost]]</f>
        <v>5233886.38</v>
      </c>
      <c r="BN12" s="49" t="s">
        <v>81</v>
      </c>
    </row>
    <row r="13" spans="1:76" x14ac:dyDescent="0.25">
      <c r="A13" s="34"/>
      <c r="B13" s="71">
        <v>8</v>
      </c>
      <c r="C13" s="71" t="s">
        <v>108</v>
      </c>
      <c r="D13" s="72">
        <v>45971</v>
      </c>
      <c r="E13" s="71" t="s">
        <v>99</v>
      </c>
      <c r="F13" s="95" t="s">
        <v>93</v>
      </c>
      <c r="G13" s="38">
        <v>32200</v>
      </c>
      <c r="H13" s="71" t="s">
        <v>109</v>
      </c>
      <c r="I13" s="74">
        <v>4600000</v>
      </c>
      <c r="J13" s="75" t="s">
        <v>74</v>
      </c>
      <c r="K13" s="76">
        <v>6700</v>
      </c>
      <c r="L13" s="71" t="s">
        <v>75</v>
      </c>
      <c r="M13" s="71" t="s">
        <v>76</v>
      </c>
      <c r="N13" s="77">
        <v>135625014378</v>
      </c>
      <c r="O13" s="78">
        <v>46005</v>
      </c>
      <c r="P13" s="78">
        <v>46094</v>
      </c>
      <c r="Q13" s="71" t="s">
        <v>77</v>
      </c>
      <c r="R13" s="79">
        <v>46071</v>
      </c>
      <c r="S13" s="78" t="s">
        <v>78</v>
      </c>
      <c r="T13" s="80">
        <v>25</v>
      </c>
      <c r="U13" s="81" t="s">
        <v>79</v>
      </c>
      <c r="V13" s="82">
        <v>122.7</v>
      </c>
      <c r="W13" s="48">
        <f t="shared" si="4"/>
        <v>987735</v>
      </c>
      <c r="X13" s="48">
        <v>23159.32</v>
      </c>
      <c r="Y13" s="48" t="s">
        <v>110</v>
      </c>
      <c r="Z13" s="82">
        <v>17943</v>
      </c>
      <c r="AA13" s="82"/>
      <c r="AB13" s="82"/>
      <c r="AC13" s="83">
        <f t="shared" si="2"/>
        <v>122.7</v>
      </c>
      <c r="AD13" s="48">
        <v>3773491.26</v>
      </c>
      <c r="AE13" s="49" t="s">
        <v>81</v>
      </c>
      <c r="AF13" s="50">
        <f>NAS_T_LC_2025[[#This Row],[LC opening Cost                     BDT]]+Z13+AD13+NAS_T_LC_2025[[#This Row],[LC Amendment Charge]]+NAS_T_LC_2025[[#This Row],[Swift Charge                                and Others]]</f>
        <v>3814593.5799999996</v>
      </c>
      <c r="AG13" s="51">
        <v>1972250</v>
      </c>
      <c r="AH13" s="78">
        <v>45981</v>
      </c>
      <c r="AI13" s="49" t="s">
        <v>81</v>
      </c>
      <c r="AJ13" s="101">
        <v>1972250</v>
      </c>
      <c r="AK13" s="84">
        <v>46001</v>
      </c>
      <c r="AL13" s="49" t="s">
        <v>81</v>
      </c>
      <c r="AM13" s="85">
        <f t="shared" si="6"/>
        <v>3944500</v>
      </c>
      <c r="AN13" s="85">
        <f t="shared" si="3"/>
        <v>-129906.42000000039</v>
      </c>
      <c r="AO13" s="85"/>
      <c r="AP13" s="86">
        <v>2430000</v>
      </c>
      <c r="AQ13" s="87">
        <v>46091</v>
      </c>
      <c r="AR13" s="49" t="s">
        <v>81</v>
      </c>
      <c r="AS13" s="57">
        <v>427021</v>
      </c>
      <c r="AT13" s="87">
        <v>46082</v>
      </c>
      <c r="AU13" s="85">
        <v>2383942.19</v>
      </c>
      <c r="AV13" s="49" t="s">
        <v>81</v>
      </c>
      <c r="AW13" s="85"/>
      <c r="AX13" s="85">
        <f>61688.2+38000</f>
        <v>99688.2</v>
      </c>
      <c r="AY13" s="49" t="s">
        <v>81</v>
      </c>
      <c r="AZ13" s="60">
        <f t="shared" si="5"/>
        <v>76276.03000000045</v>
      </c>
      <c r="BA13" s="61"/>
      <c r="BB13" s="62"/>
      <c r="BC13" s="102">
        <v>110860.95</v>
      </c>
      <c r="BD13" s="103"/>
      <c r="BF13" s="89"/>
      <c r="BG13" s="90">
        <f>987735+2785756.26</f>
        <v>3773491.26</v>
      </c>
      <c r="BH13" s="68">
        <f>NAS_T_LC_2025[[#This Row],[Bank Statement Amount]]-NAS_T_LC_2025[[#This Row],[LC RT Value]]</f>
        <v>0</v>
      </c>
      <c r="BI13" s="69">
        <v>188674.56</v>
      </c>
      <c r="BJ13" s="69"/>
      <c r="BK13" s="69">
        <f>NAS_T_LC_2025[[#This Row],[COSS For Journal]]+NAS_T_LC_2025[[#This Row],[LC Commission]]</f>
        <v>6597759.4799999995</v>
      </c>
      <c r="BL13" s="49" t="s">
        <v>81</v>
      </c>
      <c r="BM13" s="69">
        <f>NAS_T_LC_2025[[#This Row],[LC opening Cost                     BDT]]+NAS_T_LC_2025[[#This Row],[Insurance]]+NAS_T_LC_2025[[#This Row],[LC RT Value]]+NAS_T_LC_2025[[#This Row],[Customs Duty]]+NAS_T_LC_2025[[#This Row],[VAT Return]]+NAS_T_LC_2025[[#This Row],[Total C&amp;F Cost]]</f>
        <v>6409084.9199999999</v>
      </c>
      <c r="BN13" s="49" t="s">
        <v>81</v>
      </c>
    </row>
    <row r="14" spans="1:76" x14ac:dyDescent="0.25">
      <c r="A14" s="34"/>
      <c r="B14" s="35">
        <v>9</v>
      </c>
      <c r="C14" s="35" t="s">
        <v>111</v>
      </c>
      <c r="D14" s="43">
        <v>45995</v>
      </c>
      <c r="E14" s="104" t="s">
        <v>71</v>
      </c>
      <c r="F14" s="36" t="s">
        <v>93</v>
      </c>
      <c r="G14" s="38">
        <v>55440</v>
      </c>
      <c r="H14" s="35" t="s">
        <v>73</v>
      </c>
      <c r="I14" s="39">
        <v>7920000</v>
      </c>
      <c r="J14" s="40" t="s">
        <v>74</v>
      </c>
      <c r="K14" s="41">
        <v>15750</v>
      </c>
      <c r="L14" s="35" t="s">
        <v>75</v>
      </c>
      <c r="M14" s="35" t="s">
        <v>76</v>
      </c>
      <c r="N14" s="42">
        <v>135625014522</v>
      </c>
      <c r="O14" s="43">
        <v>46014</v>
      </c>
      <c r="P14" s="43">
        <v>46103</v>
      </c>
      <c r="Q14" s="35" t="s">
        <v>77</v>
      </c>
      <c r="R14" s="44">
        <v>46071</v>
      </c>
      <c r="S14" s="43" t="s">
        <v>78</v>
      </c>
      <c r="T14" s="91">
        <v>40</v>
      </c>
      <c r="U14" s="46" t="s">
        <v>79</v>
      </c>
      <c r="V14" s="47">
        <v>122.7</v>
      </c>
      <c r="W14" s="48">
        <f t="shared" si="4"/>
        <v>2720995.2</v>
      </c>
      <c r="X14" s="48">
        <v>36046.44</v>
      </c>
      <c r="Y14" s="48" t="s">
        <v>112</v>
      </c>
      <c r="Z14" s="47">
        <v>30877</v>
      </c>
      <c r="AA14" s="47"/>
      <c r="AB14" s="47"/>
      <c r="AC14" s="45">
        <v>122.7</v>
      </c>
      <c r="AD14" s="48">
        <v>6727162.4699999997</v>
      </c>
      <c r="AE14" s="49" t="s">
        <v>81</v>
      </c>
      <c r="AF14" s="50">
        <f>NAS_T_LC_2025[[#This Row],[LC opening Cost                     BDT]]+Z14+AD14+NAS_T_LC_2025[[#This Row],[LC Amendment Charge]]+NAS_T_LC_2025[[#This Row],[Swift Charge                                and Others]]</f>
        <v>6794085.9100000001</v>
      </c>
      <c r="AG14" s="51">
        <v>3409560</v>
      </c>
      <c r="AH14" s="43">
        <v>46001</v>
      </c>
      <c r="AI14" s="49" t="s">
        <v>81</v>
      </c>
      <c r="AJ14" s="101">
        <v>3437280</v>
      </c>
      <c r="AK14" s="105">
        <v>46042</v>
      </c>
      <c r="AL14" s="49" t="s">
        <v>81</v>
      </c>
      <c r="AM14" s="54">
        <f t="shared" si="6"/>
        <v>6846840</v>
      </c>
      <c r="AN14" s="54">
        <f t="shared" si="3"/>
        <v>-52754.089999999851</v>
      </c>
      <c r="AO14" s="54"/>
      <c r="AP14" s="55">
        <v>4570000</v>
      </c>
      <c r="AQ14" s="56">
        <v>46099</v>
      </c>
      <c r="AR14" s="49" t="s">
        <v>81</v>
      </c>
      <c r="AS14" s="57">
        <v>542672</v>
      </c>
      <c r="AT14" s="56">
        <v>46096</v>
      </c>
      <c r="AU14" s="54">
        <v>4472880.25</v>
      </c>
      <c r="AV14" s="49" t="s">
        <v>81</v>
      </c>
      <c r="AW14" s="54"/>
      <c r="AX14" s="54">
        <f>100055.52+132000+18000</f>
        <v>250055.52000000002</v>
      </c>
      <c r="AY14" s="49" t="s">
        <v>81</v>
      </c>
      <c r="AZ14" s="60">
        <f t="shared" si="5"/>
        <v>-100181.68000000017</v>
      </c>
      <c r="BA14" s="61"/>
      <c r="BB14" s="62"/>
      <c r="BC14" s="106">
        <v>138727.64000000001</v>
      </c>
      <c r="BD14" s="107"/>
      <c r="BF14" s="66"/>
      <c r="BG14" s="67">
        <f>2720995.2+4006167.27</f>
        <v>6727162.4700000007</v>
      </c>
      <c r="BH14" s="68">
        <f>NAS_T_LC_2025[[#This Row],[Bank Statement Amount]]-NAS_T_LC_2025[[#This Row],[LC RT Value]]</f>
        <v>0</v>
      </c>
      <c r="BI14" s="69">
        <v>336358.12</v>
      </c>
      <c r="BJ14" s="69"/>
      <c r="BK14" s="69">
        <f>NAS_T_LC_2025[[#This Row],[COSS For Journal]]+NAS_T_LC_2025[[#This Row],[LC Commission]]</f>
        <v>11992107.439999999</v>
      </c>
      <c r="BL14" s="49" t="s">
        <v>81</v>
      </c>
      <c r="BM14" s="69">
        <f>NAS_T_LC_2025[[#This Row],[LC opening Cost                     BDT]]+NAS_T_LC_2025[[#This Row],[Insurance]]+NAS_T_LC_2025[[#This Row],[LC RT Value]]+NAS_T_LC_2025[[#This Row],[Customs Duty]]+NAS_T_LC_2025[[#This Row],[VAT Return]]+NAS_T_LC_2025[[#This Row],[Total C&amp;F Cost]]</f>
        <v>11655749.32</v>
      </c>
      <c r="BN14" s="49" t="s">
        <v>81</v>
      </c>
    </row>
    <row r="15" spans="1:76" x14ac:dyDescent="0.25">
      <c r="A15" s="108"/>
      <c r="B15" s="71"/>
      <c r="C15" s="71"/>
      <c r="D15" s="78"/>
      <c r="E15" s="71"/>
      <c r="F15" s="71"/>
      <c r="G15" s="109"/>
      <c r="H15" s="71"/>
      <c r="I15" s="76"/>
      <c r="J15" s="71"/>
      <c r="K15" s="76"/>
      <c r="L15" s="71"/>
      <c r="M15" s="71"/>
      <c r="N15" s="110"/>
      <c r="O15" s="78"/>
      <c r="P15" s="78"/>
      <c r="Q15" s="71"/>
      <c r="R15" s="78"/>
      <c r="S15" s="78"/>
      <c r="T15" s="80"/>
      <c r="U15" s="81"/>
      <c r="V15" s="82"/>
      <c r="W15" s="82"/>
      <c r="X15" s="82"/>
      <c r="Y15" s="82"/>
      <c r="Z15" s="82"/>
      <c r="AA15" s="82"/>
      <c r="AB15" s="82"/>
      <c r="AC15" s="82"/>
      <c r="AD15" s="82"/>
      <c r="AE15" s="82"/>
      <c r="AF15" s="50">
        <f>NAS_T_LC_2025[[#This Row],[LC opening Cost                     BDT]]+Z15+AD15+NAS_T_LC_2025[[#This Row],[LC Amendment Charge]]+NAS_T_LC_2025[[#This Row],[Swift Charge                                and Others]]</f>
        <v>0</v>
      </c>
      <c r="AG15" s="82"/>
      <c r="AH15" s="78"/>
      <c r="AI15" s="78"/>
      <c r="AJ15" s="111"/>
      <c r="AK15" s="112"/>
      <c r="AL15" s="112"/>
      <c r="AM15" s="113"/>
      <c r="AN15" s="114">
        <f t="shared" si="3"/>
        <v>0</v>
      </c>
      <c r="AO15" s="113"/>
      <c r="AP15" s="113"/>
      <c r="AQ15" s="112"/>
      <c r="AR15" s="112"/>
      <c r="AS15" s="112"/>
      <c r="AT15" s="112"/>
      <c r="AU15" s="113"/>
      <c r="AV15" s="113"/>
      <c r="AW15" s="113"/>
      <c r="AX15" s="113"/>
      <c r="AY15" s="113"/>
      <c r="AZ15" s="60">
        <f t="shared" si="5"/>
        <v>0</v>
      </c>
      <c r="BA15" s="61"/>
      <c r="BB15" s="62"/>
      <c r="BC15" s="88"/>
      <c r="BF15" s="89"/>
      <c r="BG15" s="90"/>
      <c r="BH15" s="68">
        <f>NAS_T_LC_2025[[#This Row],[Bank Statement Amount]]-NAS_T_LC_2025[[#This Row],[LC RT Value]]</f>
        <v>0</v>
      </c>
      <c r="BI15" s="69"/>
      <c r="BJ15" s="69"/>
    </row>
    <row r="16" spans="1:76" x14ac:dyDescent="0.25">
      <c r="A16" s="115"/>
      <c r="B16" s="35"/>
      <c r="C16" s="35"/>
      <c r="D16" s="43"/>
      <c r="E16" s="35"/>
      <c r="F16" s="35"/>
      <c r="G16" s="116"/>
      <c r="H16" s="35"/>
      <c r="I16" s="41"/>
      <c r="J16" s="35"/>
      <c r="K16" s="35"/>
      <c r="L16" s="35"/>
      <c r="M16" s="35"/>
      <c r="N16" s="117"/>
      <c r="O16" s="43"/>
      <c r="P16" s="43"/>
      <c r="Q16" s="35"/>
      <c r="R16" s="118"/>
      <c r="S16" s="118"/>
      <c r="T16" s="45"/>
      <c r="U16" s="47"/>
      <c r="V16" s="47"/>
      <c r="W16" s="47">
        <f t="shared" ref="W16:W23" si="7">($G16*$V16)*$T16%</f>
        <v>0</v>
      </c>
      <c r="X16" s="47"/>
      <c r="Y16" s="47"/>
      <c r="Z16" s="47"/>
      <c r="AA16" s="47"/>
      <c r="AB16" s="47"/>
      <c r="AC16" s="47"/>
      <c r="AD16" s="47">
        <f>$G16*$AC16</f>
        <v>0</v>
      </c>
      <c r="AE16" s="47"/>
      <c r="AF16" s="50">
        <f>NAS_T_LC_2025[[#This Row],[LC opening Cost                     BDT]]+Z16+AD16+NAS_T_LC_2025[[#This Row],[LC Amendment Charge]]+NAS_T_LC_2025[[#This Row],[Swift Charge                                and Others]]</f>
        <v>0</v>
      </c>
      <c r="AG16" s="35"/>
      <c r="AH16" s="119"/>
      <c r="AI16" s="119"/>
      <c r="AJ16" s="120"/>
      <c r="AK16" s="119"/>
      <c r="AL16" s="119"/>
      <c r="AM16" s="120"/>
      <c r="AN16" s="121">
        <f t="shared" si="3"/>
        <v>0</v>
      </c>
      <c r="AO16" s="120"/>
      <c r="AP16" s="120"/>
      <c r="AQ16" s="119"/>
      <c r="AR16" s="119"/>
      <c r="AS16" s="119"/>
      <c r="AT16" s="119"/>
      <c r="AU16" s="120"/>
      <c r="AV16" s="120"/>
      <c r="AW16" s="120"/>
      <c r="AX16" s="120"/>
      <c r="AY16" s="120"/>
      <c r="AZ16" s="60">
        <f t="shared" si="5"/>
        <v>0</v>
      </c>
      <c r="BA16" s="61"/>
      <c r="BB16" s="62"/>
      <c r="BC16" s="122"/>
      <c r="BD16" s="123"/>
      <c r="BE16" s="123"/>
      <c r="BF16" s="66"/>
      <c r="BG16" s="67"/>
      <c r="BH16" s="68">
        <f>NAS_T_LC_2025[[#This Row],[Bank Statement Amount]]-NAS_T_LC_2025[[#This Row],[LC RT Value]]</f>
        <v>0</v>
      </c>
      <c r="BI16" s="69"/>
      <c r="BJ16" s="69"/>
    </row>
    <row r="17" spans="1:62" x14ac:dyDescent="0.25">
      <c r="A17" s="108"/>
      <c r="B17" s="71"/>
      <c r="C17" s="71"/>
      <c r="D17" s="78"/>
      <c r="E17" s="71"/>
      <c r="F17" s="71"/>
      <c r="G17" s="109"/>
      <c r="H17" s="71"/>
      <c r="I17" s="76"/>
      <c r="J17" s="71"/>
      <c r="K17" s="71"/>
      <c r="L17" s="71"/>
      <c r="M17" s="71"/>
      <c r="N17" s="110"/>
      <c r="O17" s="78"/>
      <c r="P17" s="78"/>
      <c r="Q17" s="71"/>
      <c r="R17" s="124"/>
      <c r="S17" s="124"/>
      <c r="T17" s="83"/>
      <c r="U17" s="82"/>
      <c r="V17" s="82"/>
      <c r="W17" s="82">
        <f t="shared" si="7"/>
        <v>0</v>
      </c>
      <c r="X17" s="82"/>
      <c r="Y17" s="82"/>
      <c r="Z17" s="82"/>
      <c r="AA17" s="82"/>
      <c r="AB17" s="82"/>
      <c r="AC17" s="82"/>
      <c r="AD17" s="82">
        <f>$G17*$AC17</f>
        <v>0</v>
      </c>
      <c r="AE17" s="82"/>
      <c r="AF17" s="50">
        <f>NAS_T_LC_2025[[#This Row],[LC opening Cost                     BDT]]+Z17+AD17+NAS_T_LC_2025[[#This Row],[LC Amendment Charge]]+NAS_T_LC_2025[[#This Row],[Swift Charge                                and Others]]</f>
        <v>0</v>
      </c>
      <c r="AG17" s="71"/>
      <c r="AH17" s="112"/>
      <c r="AI17" s="112"/>
      <c r="AJ17" s="113"/>
      <c r="AK17" s="112"/>
      <c r="AL17" s="112"/>
      <c r="AM17" s="113"/>
      <c r="AN17" s="114">
        <f t="shared" si="3"/>
        <v>0</v>
      </c>
      <c r="AO17" s="113"/>
      <c r="AP17" s="113"/>
      <c r="AQ17" s="112"/>
      <c r="AR17" s="112"/>
      <c r="AS17" s="112"/>
      <c r="AT17" s="112"/>
      <c r="AU17" s="113"/>
      <c r="AV17" s="113"/>
      <c r="AW17" s="113"/>
      <c r="AX17" s="113"/>
      <c r="AY17" s="113"/>
      <c r="AZ17" s="60">
        <f t="shared" si="5"/>
        <v>0</v>
      </c>
      <c r="BA17" s="61"/>
      <c r="BB17" s="62"/>
      <c r="BC17" s="88"/>
      <c r="BF17" s="89"/>
      <c r="BG17" s="90"/>
      <c r="BH17" s="68">
        <f>NAS_T_LC_2025[[#This Row],[Bank Statement Amount]]-NAS_T_LC_2025[[#This Row],[LC RT Value]]</f>
        <v>0</v>
      </c>
      <c r="BI17" s="69"/>
      <c r="BJ17" s="69"/>
    </row>
    <row r="18" spans="1:62" x14ac:dyDescent="0.25">
      <c r="A18" s="115"/>
      <c r="B18" s="35"/>
      <c r="C18" s="35"/>
      <c r="D18" s="43"/>
      <c r="E18" s="35"/>
      <c r="F18" s="35"/>
      <c r="G18" s="116"/>
      <c r="H18" s="35"/>
      <c r="I18" s="41"/>
      <c r="J18" s="35"/>
      <c r="K18" s="35"/>
      <c r="L18" s="35"/>
      <c r="M18" s="35"/>
      <c r="N18" s="117"/>
      <c r="O18" s="43"/>
      <c r="P18" s="43"/>
      <c r="Q18" s="35"/>
      <c r="R18" s="118"/>
      <c r="S18" s="118"/>
      <c r="T18" s="45"/>
      <c r="U18" s="47"/>
      <c r="V18" s="47"/>
      <c r="W18" s="47">
        <f t="shared" si="7"/>
        <v>0</v>
      </c>
      <c r="X18" s="47"/>
      <c r="Y18" s="47"/>
      <c r="Z18" s="47"/>
      <c r="AA18" s="47"/>
      <c r="AB18" s="47"/>
      <c r="AC18" s="47"/>
      <c r="AD18" s="47">
        <f>$G18*$AC18</f>
        <v>0</v>
      </c>
      <c r="AE18" s="47"/>
      <c r="AF18" s="50">
        <f>NAS_T_LC_2025[[#This Row],[LC opening Cost                     BDT]]+Z18+AD18+NAS_T_LC_2025[[#This Row],[LC Amendment Charge]]+NAS_T_LC_2025[[#This Row],[Swift Charge                                and Others]]</f>
        <v>0</v>
      </c>
      <c r="AG18" s="35"/>
      <c r="AH18" s="119"/>
      <c r="AI18" s="119"/>
      <c r="AJ18" s="120"/>
      <c r="AK18" s="119"/>
      <c r="AL18" s="119"/>
      <c r="AM18" s="120"/>
      <c r="AN18" s="121">
        <f t="shared" si="3"/>
        <v>0</v>
      </c>
      <c r="AO18" s="120"/>
      <c r="AP18" s="120"/>
      <c r="AQ18" s="119"/>
      <c r="AR18" s="119"/>
      <c r="AS18" s="119"/>
      <c r="AT18" s="119"/>
      <c r="AU18" s="120"/>
      <c r="AV18" s="120"/>
      <c r="AW18" s="120"/>
      <c r="AX18" s="120"/>
      <c r="AY18" s="120"/>
      <c r="AZ18" s="60">
        <f t="shared" si="5"/>
        <v>0</v>
      </c>
      <c r="BA18" s="61"/>
      <c r="BB18" s="62"/>
      <c r="BC18" s="122"/>
      <c r="BD18" s="123"/>
      <c r="BE18" s="123"/>
      <c r="BF18" s="66"/>
      <c r="BG18" s="67"/>
      <c r="BH18" s="68">
        <f>NAS_T_LC_2025[[#This Row],[Bank Statement Amount]]-NAS_T_LC_2025[[#This Row],[LC RT Value]]</f>
        <v>0</v>
      </c>
      <c r="BI18" s="69"/>
      <c r="BJ18" s="69"/>
    </row>
    <row r="19" spans="1:62" x14ac:dyDescent="0.25">
      <c r="A19" s="108"/>
      <c r="B19" s="71"/>
      <c r="C19" s="71"/>
      <c r="D19" s="78"/>
      <c r="E19" s="71"/>
      <c r="F19" s="71"/>
      <c r="G19" s="109"/>
      <c r="H19" s="71"/>
      <c r="I19" s="76"/>
      <c r="J19" s="71"/>
      <c r="K19" s="71"/>
      <c r="L19" s="71"/>
      <c r="M19" s="71"/>
      <c r="N19" s="110"/>
      <c r="O19" s="78"/>
      <c r="P19" s="78"/>
      <c r="Q19" s="71"/>
      <c r="R19" s="124"/>
      <c r="S19" s="124"/>
      <c r="T19" s="83"/>
      <c r="U19" s="82"/>
      <c r="V19" s="82"/>
      <c r="W19" s="82">
        <f t="shared" si="7"/>
        <v>0</v>
      </c>
      <c r="X19" s="82"/>
      <c r="Y19" s="82"/>
      <c r="Z19" s="82"/>
      <c r="AA19" s="82"/>
      <c r="AB19" s="82"/>
      <c r="AC19" s="82"/>
      <c r="AD19" s="82">
        <f>$G19*$AC19</f>
        <v>0</v>
      </c>
      <c r="AE19" s="82"/>
      <c r="AF19" s="50">
        <f>NAS_T_LC_2025[[#This Row],[LC opening Cost                     BDT]]+Z19+AD19+NAS_T_LC_2025[[#This Row],[LC Amendment Charge]]+NAS_T_LC_2025[[#This Row],[Swift Charge                                and Others]]</f>
        <v>0</v>
      </c>
      <c r="AG19" s="71"/>
      <c r="AH19" s="112"/>
      <c r="AI19" s="112"/>
      <c r="AJ19" s="113"/>
      <c r="AK19" s="112"/>
      <c r="AL19" s="112"/>
      <c r="AM19" s="113"/>
      <c r="AN19" s="114">
        <f t="shared" si="3"/>
        <v>0</v>
      </c>
      <c r="AO19" s="113"/>
      <c r="AP19" s="113"/>
      <c r="AQ19" s="112"/>
      <c r="AR19" s="112"/>
      <c r="AS19" s="112"/>
      <c r="AT19" s="112"/>
      <c r="AU19" s="113"/>
      <c r="AV19" s="113"/>
      <c r="AW19" s="113"/>
      <c r="AX19" s="113"/>
      <c r="AY19" s="113"/>
      <c r="AZ19" s="60">
        <f t="shared" si="5"/>
        <v>0</v>
      </c>
      <c r="BA19" s="61"/>
      <c r="BB19" s="62"/>
      <c r="BC19" s="88"/>
      <c r="BF19" s="89"/>
      <c r="BG19" s="90"/>
      <c r="BH19" s="68">
        <f>NAS_T_LC_2025[[#This Row],[Bank Statement Amount]]-NAS_T_LC_2025[[#This Row],[LC RT Value]]</f>
        <v>0</v>
      </c>
      <c r="BI19" s="69"/>
      <c r="BJ19" s="69"/>
    </row>
    <row r="20" spans="1:62" x14ac:dyDescent="0.25">
      <c r="A20" s="108"/>
      <c r="B20" s="71"/>
      <c r="C20" s="71"/>
      <c r="D20" s="78"/>
      <c r="E20" s="71"/>
      <c r="F20" s="71"/>
      <c r="G20" s="109"/>
      <c r="H20" s="71"/>
      <c r="I20" s="76"/>
      <c r="J20" s="71"/>
      <c r="K20" s="71"/>
      <c r="L20" s="71"/>
      <c r="M20" s="71"/>
      <c r="N20" s="110"/>
      <c r="O20" s="78"/>
      <c r="P20" s="78"/>
      <c r="Q20" s="71"/>
      <c r="R20" s="124"/>
      <c r="S20" s="124"/>
      <c r="T20" s="83"/>
      <c r="U20" s="82"/>
      <c r="V20" s="82"/>
      <c r="W20" s="83"/>
      <c r="X20" s="82"/>
      <c r="Y20" s="83"/>
      <c r="Z20" s="82"/>
      <c r="AA20" s="82"/>
      <c r="AB20" s="82"/>
      <c r="AC20" s="82"/>
      <c r="AD20" s="83"/>
      <c r="AE20" s="83"/>
      <c r="AF20" s="50">
        <f>NAS_T_LC_2025[[#This Row],[LC opening Cost                     BDT]]+Z20+AD20+NAS_T_LC_2025[[#This Row],[LC Amendment Charge]]+NAS_T_LC_2025[[#This Row],[Swift Charge                                and Others]]</f>
        <v>0</v>
      </c>
      <c r="AG20" s="71"/>
      <c r="AH20" s="112"/>
      <c r="AI20" s="112"/>
      <c r="AJ20" s="113"/>
      <c r="AK20" s="112"/>
      <c r="AL20" s="112"/>
      <c r="AM20" s="113"/>
      <c r="AN20" s="114">
        <f t="shared" si="3"/>
        <v>0</v>
      </c>
      <c r="AO20" s="113"/>
      <c r="AP20" s="113"/>
      <c r="AQ20" s="112"/>
      <c r="AR20" s="112"/>
      <c r="AS20" s="112"/>
      <c r="AT20" s="112"/>
      <c r="AU20" s="113"/>
      <c r="AV20" s="113"/>
      <c r="AW20" s="113"/>
      <c r="AX20" s="113"/>
      <c r="AY20" s="113"/>
      <c r="AZ20" s="60">
        <f>(AM20+AP20)-AF20-AU20-AX20</f>
        <v>0</v>
      </c>
      <c r="BA20" s="61"/>
      <c r="BB20" s="62"/>
      <c r="BC20" s="88"/>
      <c r="BF20" s="89"/>
      <c r="BG20" s="90"/>
      <c r="BH20" s="68">
        <f>NAS_T_LC_2025[[#This Row],[Bank Statement Amount]]-NAS_T_LC_2025[[#This Row],[LC RT Value]]</f>
        <v>0</v>
      </c>
      <c r="BI20" s="69"/>
      <c r="BJ20" s="69"/>
    </row>
    <row r="21" spans="1:62" x14ac:dyDescent="0.25">
      <c r="A21" s="108"/>
      <c r="B21" s="71"/>
      <c r="C21" s="71"/>
      <c r="D21" s="78"/>
      <c r="E21" s="71"/>
      <c r="F21" s="71"/>
      <c r="G21" s="109"/>
      <c r="H21" s="71"/>
      <c r="I21" s="76"/>
      <c r="J21" s="71"/>
      <c r="K21" s="71"/>
      <c r="L21" s="71"/>
      <c r="M21" s="71"/>
      <c r="N21" s="110"/>
      <c r="O21" s="78"/>
      <c r="P21" s="78"/>
      <c r="Q21" s="71"/>
      <c r="R21" s="124"/>
      <c r="S21" s="124"/>
      <c r="T21" s="83"/>
      <c r="U21" s="82"/>
      <c r="V21" s="82"/>
      <c r="W21" s="83"/>
      <c r="X21" s="82"/>
      <c r="Y21" s="83"/>
      <c r="Z21" s="82"/>
      <c r="AA21" s="82"/>
      <c r="AB21" s="82"/>
      <c r="AC21" s="82"/>
      <c r="AD21" s="83"/>
      <c r="AE21" s="83"/>
      <c r="AF21" s="50">
        <f>NAS_T_LC_2025[[#This Row],[LC opening Cost                     BDT]]+Z21+AD21+NAS_T_LC_2025[[#This Row],[LC Amendment Charge]]+NAS_T_LC_2025[[#This Row],[Swift Charge                                and Others]]</f>
        <v>0</v>
      </c>
      <c r="AG21" s="71"/>
      <c r="AH21" s="112"/>
      <c r="AI21" s="112"/>
      <c r="AJ21" s="113"/>
      <c r="AK21" s="112"/>
      <c r="AL21" s="112"/>
      <c r="AM21" s="113"/>
      <c r="AN21" s="114">
        <f t="shared" si="3"/>
        <v>0</v>
      </c>
      <c r="AO21" s="113"/>
      <c r="AP21" s="113"/>
      <c r="AQ21" s="112"/>
      <c r="AR21" s="112"/>
      <c r="AS21" s="112"/>
      <c r="AT21" s="112"/>
      <c r="AU21" s="113"/>
      <c r="AV21" s="113"/>
      <c r="AW21" s="113"/>
      <c r="AX21" s="113"/>
      <c r="AY21" s="113"/>
      <c r="AZ21" s="60">
        <f>(AM21+AP21)-AF21-AU21-AX21</f>
        <v>0</v>
      </c>
      <c r="BA21" s="61"/>
      <c r="BB21" s="62"/>
      <c r="BC21" s="88"/>
      <c r="BF21" s="89"/>
      <c r="BG21" s="90"/>
      <c r="BH21" s="68">
        <f>NAS_T_LC_2025[[#This Row],[Bank Statement Amount]]-NAS_T_LC_2025[[#This Row],[LC RT Value]]</f>
        <v>0</v>
      </c>
      <c r="BI21" s="69"/>
      <c r="BJ21" s="69"/>
    </row>
    <row r="22" spans="1:62" x14ac:dyDescent="0.25">
      <c r="A22" s="108"/>
      <c r="B22" s="71"/>
      <c r="C22" s="71"/>
      <c r="D22" s="78"/>
      <c r="E22" s="71"/>
      <c r="F22" s="71"/>
      <c r="G22" s="109"/>
      <c r="H22" s="71"/>
      <c r="I22" s="76"/>
      <c r="J22" s="71"/>
      <c r="K22" s="71"/>
      <c r="L22" s="71"/>
      <c r="M22" s="71"/>
      <c r="N22" s="110"/>
      <c r="O22" s="78"/>
      <c r="P22" s="78"/>
      <c r="Q22" s="71"/>
      <c r="R22" s="124"/>
      <c r="S22" s="124"/>
      <c r="T22" s="83"/>
      <c r="U22" s="82"/>
      <c r="V22" s="82"/>
      <c r="W22" s="83"/>
      <c r="X22" s="82"/>
      <c r="Y22" s="83"/>
      <c r="Z22" s="82"/>
      <c r="AA22" s="82"/>
      <c r="AB22" s="82"/>
      <c r="AC22" s="82"/>
      <c r="AD22" s="83"/>
      <c r="AE22" s="83"/>
      <c r="AF22" s="50">
        <f>NAS_T_LC_2025[[#This Row],[LC opening Cost                     BDT]]+Z22+AD22+NAS_T_LC_2025[[#This Row],[LC Amendment Charge]]+NAS_T_LC_2025[[#This Row],[Swift Charge                                and Others]]</f>
        <v>0</v>
      </c>
      <c r="AG22" s="71"/>
      <c r="AH22" s="112"/>
      <c r="AI22" s="112"/>
      <c r="AJ22" s="113"/>
      <c r="AK22" s="112"/>
      <c r="AL22" s="112"/>
      <c r="AM22" s="113"/>
      <c r="AN22" s="114">
        <f t="shared" si="3"/>
        <v>0</v>
      </c>
      <c r="AO22" s="113"/>
      <c r="AP22" s="113"/>
      <c r="AQ22" s="112"/>
      <c r="AR22" s="112"/>
      <c r="AS22" s="112"/>
      <c r="AT22" s="112"/>
      <c r="AU22" s="113"/>
      <c r="AV22" s="113"/>
      <c r="AW22" s="113"/>
      <c r="AX22" s="113"/>
      <c r="AY22" s="113"/>
      <c r="AZ22" s="60">
        <f>(AM22+AP22)-AF22-AU22-AX22</f>
        <v>0</v>
      </c>
      <c r="BA22" s="61"/>
      <c r="BB22" s="62"/>
      <c r="BC22" s="88"/>
      <c r="BF22" s="89"/>
      <c r="BG22" s="90"/>
      <c r="BH22" s="68">
        <f>NAS_T_LC_2025[[#This Row],[Bank Statement Amount]]-NAS_T_LC_2025[[#This Row],[LC RT Value]]</f>
        <v>0</v>
      </c>
      <c r="BI22" s="69"/>
      <c r="BJ22" s="69"/>
    </row>
    <row r="23" spans="1:62" x14ac:dyDescent="0.25">
      <c r="A23" s="115"/>
      <c r="B23" s="35"/>
      <c r="C23" s="35"/>
      <c r="D23" s="43"/>
      <c r="E23" s="35"/>
      <c r="F23" s="35"/>
      <c r="G23" s="116"/>
      <c r="H23" s="35"/>
      <c r="I23" s="41"/>
      <c r="J23" s="35"/>
      <c r="K23" s="35"/>
      <c r="L23" s="35"/>
      <c r="M23" s="35"/>
      <c r="N23" s="117"/>
      <c r="O23" s="43"/>
      <c r="P23" s="43"/>
      <c r="Q23" s="35"/>
      <c r="R23" s="118"/>
      <c r="S23" s="118"/>
      <c r="T23" s="45"/>
      <c r="U23" s="47"/>
      <c r="V23" s="47"/>
      <c r="W23" s="47">
        <f t="shared" si="7"/>
        <v>0</v>
      </c>
      <c r="X23" s="47"/>
      <c r="Y23" s="47"/>
      <c r="Z23" s="47"/>
      <c r="AA23" s="47"/>
      <c r="AB23" s="47"/>
      <c r="AC23" s="47"/>
      <c r="AD23" s="47">
        <f>$G23*$AC23</f>
        <v>0</v>
      </c>
      <c r="AE23" s="47"/>
      <c r="AF23" s="50">
        <f>NAS_T_LC_2025[[#This Row],[LC opening Cost                     BDT]]+Z23+AD23+NAS_T_LC_2025[[#This Row],[LC Amendment Charge]]+NAS_T_LC_2025[[#This Row],[Swift Charge                                and Others]]</f>
        <v>0</v>
      </c>
      <c r="AG23" s="35"/>
      <c r="AH23" s="119"/>
      <c r="AI23" s="119"/>
      <c r="AJ23" s="120"/>
      <c r="AK23" s="119"/>
      <c r="AL23" s="119"/>
      <c r="AM23" s="120"/>
      <c r="AN23" s="121">
        <f t="shared" si="3"/>
        <v>0</v>
      </c>
      <c r="AO23" s="120"/>
      <c r="AP23" s="120"/>
      <c r="AQ23" s="119"/>
      <c r="AR23" s="119"/>
      <c r="AS23" s="119"/>
      <c r="AT23" s="119"/>
      <c r="AU23" s="120"/>
      <c r="AV23" s="120"/>
      <c r="AW23" s="120"/>
      <c r="AX23" s="120"/>
      <c r="AY23" s="120"/>
      <c r="AZ23" s="60">
        <f t="shared" si="5"/>
        <v>0</v>
      </c>
      <c r="BA23" s="61"/>
      <c r="BB23" s="62"/>
      <c r="BC23" s="122"/>
      <c r="BD23" s="123"/>
      <c r="BE23" s="123"/>
      <c r="BF23" s="66"/>
      <c r="BG23" s="67"/>
      <c r="BH23" s="68">
        <f>NAS_T_LC_2025[[#This Row],[Bank Statement Amount]]-NAS_T_LC_2025[[#This Row],[LC RT Value]]</f>
        <v>0</v>
      </c>
      <c r="BI23" s="69"/>
      <c r="BJ23" s="69"/>
    </row>
    <row r="24" spans="1:62" x14ac:dyDescent="0.25">
      <c r="AZ24" s="127"/>
      <c r="BA24" s="128"/>
      <c r="BB24" s="128"/>
    </row>
    <row r="25" spans="1:62" x14ac:dyDescent="0.25">
      <c r="AZ25" s="127"/>
      <c r="BA25" s="128"/>
      <c r="BB25" s="128"/>
    </row>
    <row r="28" spans="1:62" x14ac:dyDescent="0.25">
      <c r="C28" s="129"/>
    </row>
    <row r="29" spans="1:62" x14ac:dyDescent="0.25">
      <c r="AF29" s="69"/>
    </row>
    <row r="30" spans="1:62" x14ac:dyDescent="0.25">
      <c r="AF30" s="130"/>
    </row>
    <row r="33" spans="65:65" x14ac:dyDescent="0.25">
      <c r="BM33" s="131"/>
    </row>
    <row r="34" spans="65:65" x14ac:dyDescent="0.25">
      <c r="BM34" s="131">
        <v>55812735.149999999</v>
      </c>
    </row>
  </sheetData>
  <sheetProtection selectLockedCells="1" selectUnlockedCells="1"/>
  <mergeCells count="1">
    <mergeCell ref="A2:AF3"/>
  </mergeCells>
  <conditionalFormatting sqref="N1:N1048576">
    <cfRule type="duplicateValues" dxfId="2" priority="1"/>
  </conditionalFormatting>
  <conditionalFormatting sqref="N5">
    <cfRule type="duplicateValues" dxfId="1" priority="2"/>
  </conditionalFormatting>
  <conditionalFormatting sqref="N6:N23">
    <cfRule type="duplicateValues" dxfId="0" priority="3"/>
  </conditionalFormatting>
  <pageMargins left="0.7" right="0.7" top="0.75" bottom="0.75" header="0.3" footer="0.3"/>
  <pageSetup scale="11" orientation="landscape" r:id="rId1"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ABU NASAR TANVIR</dc:creator>
  <cp:lastModifiedBy>ABU NASAR TANVIR</cp:lastModifiedBy>
  <dcterms:created xsi:type="dcterms:W3CDTF">2026-06-22T09:53:19Z</dcterms:created>
  <dcterms:modified xsi:type="dcterms:W3CDTF">2026-06-22T09:59:23Z</dcterms:modified>
</cp:coreProperties>
</file>